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027802A4-7DD6-450D-AA1B-69A8F078C523}" xr6:coauthVersionLast="47" xr6:coauthVersionMax="47" xr10:uidLastSave="{00000000-0000-0000-0000-000000000000}"/>
  <bookViews>
    <workbookView xWindow="-16320" yWindow="-120" windowWidth="16440" windowHeight="28320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s="1" a="1"/>
  <c r="B9" i="13" s="1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 s="1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<sst xmlns="http://schemas.openxmlformats.org/spreadsheetml/2006/main" count="2543" uniqueCount="553">
  <si>
    <t>Current Date Value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</si>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</sst>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49" fontId="7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tabSelected="1" zoomScale="110" zoomScaleNormal="110" workbookViewId="0">
      <selection activeCell="B1" sqref="B1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20"/>
      <c r="D1" s="18"/>
    </row>
    <row r="2" spans="1:4">
      <c r="A2" s="1" t="s">
        <v>1</v>
      </c>
      <c r="B2" s="2" t="s">
        <v>2</v>
      </c>
      <c r="D2" s="18"/>
    </row>
    <row r="3" spans="1:4">
      <c r="A3" s="10" t="s">
        <v>3</v>
      </c>
      <c r="B3" s="11" t="s">
        <v>2</v>
      </c>
      <c r="D3" s="18"/>
    </row>
    <row r="4" spans="1:4">
      <c r="A4" s="10" t="s">
        <v>4</v>
      </c>
      <c r="B4" s="11" t="s">
        <v>2</v>
      </c>
      <c r="D4" s="18"/>
    </row>
    <row r="5" spans="1:4">
      <c r="A5" s="1" t="s">
        <v>5</v>
      </c>
      <c r="B5" s="2">
        <v>23</v>
      </c>
      <c r="D5" s="18"/>
    </row>
    <row r="6" spans="1:4">
      <c r="A6" s="1" t="s">
        <v>6</v>
      </c>
      <c r="B6" s="2" t="s">
        <v>7</v>
      </c>
      <c r="D6" s="18"/>
    </row>
    <row r="7" spans="1:4">
      <c r="A7" s="1" t="s">
        <v>8</v>
      </c>
      <c r="B7" s="2">
        <v>2</v>
      </c>
      <c r="D7" s="18"/>
    </row>
    <row r="8" spans="1:4">
      <c r="A8" s="1" t="s">
        <v>9</v>
      </c>
      <c r="B8" s="2">
        <v>1</v>
      </c>
      <c r="D8" s="18"/>
    </row>
    <row r="9" spans="1:4">
      <c r="A9" s="1" t="s">
        <v>10</v>
      </c>
      <c r="B9" s="2">
        <v>1.2</v>
      </c>
      <c r="D9" s="18"/>
    </row>
    <row r="10" spans="1:4">
      <c r="A10" s="1" t="s">
        <v>11</v>
      </c>
      <c r="B10" s="2" t="s">
        <v>7</v>
      </c>
      <c r="D10" s="18"/>
    </row>
    <row r="11" spans="1:4">
      <c r="A11" s="1" t="s">
        <v>12</v>
      </c>
      <c r="B11" s="2" t="str">
        <f>_xlfn.CONCAT("RMS_RDM_", B1, "_QEM_USAP")</f>
        <v>RMS_RDM__QEM_USAP</v>
      </c>
      <c r="D11" s="18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13</v>
      </c>
      <c r="B1" s="14" t="s">
        <v>14</v>
      </c>
    </row>
    <row r="2" spans="1:2">
      <c r="A2" s="12" t="s">
        <v>15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16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17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18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19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20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21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22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23</v>
      </c>
      <c r="B1" s="1" t="s">
        <v>24</v>
      </c>
    </row>
    <row r="2" spans="1:2">
      <c r="A2" s="3" t="str">
        <f>_xlfn.CONCAT("RMS_EDM_",Metadata!$B$1,"_Quarterly_CBAP")</f>
        <v>RMS_EDM__Quarterly_CBAP</v>
      </c>
      <c r="B2" s="3" t="s">
        <v>7</v>
      </c>
    </row>
    <row r="3" spans="1:2">
      <c r="A3" s="3" t="str">
        <f>_xlfn.CONCAT("RMS_EDM_",Metadata!$B$1,"_Quarterly_USEQ")</f>
        <v>RMS_EDM__Quarterly_USEQ</v>
      </c>
      <c r="B3" s="3" t="s">
        <v>7</v>
      </c>
    </row>
    <row r="4" spans="1:2">
      <c r="A4" s="3" t="str">
        <f>_xlfn.CONCAT("RMS_EDM_",Metadata!$B$1,"_Quarterly_USFF")</f>
        <v>RMS_EDM__Quarterly_USFF</v>
      </c>
      <c r="B4" s="3" t="s">
        <v>7</v>
      </c>
    </row>
    <row r="5" spans="1:2">
      <c r="A5" s="3" t="str">
        <f>_xlfn.CONCAT("RMS_EDM_",Metadata!$B$1,"_Quarterly_USFL")</f>
        <v>RMS_EDM__Quarterly_USFL</v>
      </c>
      <c r="B5" s="3" t="s">
        <v>7</v>
      </c>
    </row>
    <row r="6" spans="1:2">
      <c r="A6" s="3" t="str">
        <f>_xlfn.CONCAT("RMS_EDM_",Metadata!$B$1,"_Quarterly_USHU")</f>
        <v>RMS_EDM__Quarterly_USHU</v>
      </c>
      <c r="B6" s="3" t="s">
        <v>7</v>
      </c>
    </row>
    <row r="7" spans="1:2">
      <c r="A7" s="3" t="str">
        <f>_xlfn.CONCAT("RMS_EDM_",Metadata!$B$1,"_Quarterly_USST")</f>
        <v>RMS_EDM__Quarterly_USST</v>
      </c>
      <c r="B7" s="3" t="s">
        <v>7</v>
      </c>
    </row>
    <row r="8" spans="1:2">
      <c r="A8" s="3" t="str">
        <f>_xlfn.CONCAT("RMS_EDM_",Metadata!$B$1,"_Quarterly_USWF")</f>
        <v>RMS_EDM__Quarterly_USWF</v>
      </c>
      <c r="B8" s="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25</v>
      </c>
      <c r="B1" s="7" t="s">
        <v>23</v>
      </c>
      <c r="C1" s="7" t="s">
        <v>26</v>
      </c>
      <c r="D1" s="1" t="s">
        <v>27</v>
      </c>
    </row>
    <row r="2" spans="1:4">
      <c r="A2" s="8" t="s">
        <v>28</v>
      </c>
      <c r="B2" s="3" t="str">
        <f>_xlfn.CONCAT("RMS_EDM_",Metadata!$B$1,"_Quarterly_CBAP")</f>
        <v>RMS_EDM__Quarterly_CBAP</v>
      </c>
      <c r="C2" s="3" t="s">
        <v>28</v>
      </c>
      <c r="D2" s="3" t="s">
        <v>7</v>
      </c>
    </row>
    <row r="3" spans="1:4">
      <c r="A3" s="8" t="s">
        <v>29</v>
      </c>
      <c r="B3" s="3" t="str">
        <f>_xlfn.CONCAT("RMS_EDM_",Metadata!$B$1,"_Quarterly_CBAP")</f>
        <v>RMS_EDM__Quarterly_CBAP</v>
      </c>
      <c r="C3" s="3" t="s">
        <v>29</v>
      </c>
      <c r="D3" s="3" t="s">
        <v>7</v>
      </c>
    </row>
    <row r="4" spans="1:4">
      <c r="A4" s="8" t="s">
        <v>30</v>
      </c>
      <c r="B4" s="3" t="str">
        <f>_xlfn.CONCAT("RMS_EDM_",Metadata!$B$1,"_Quarterly_USEQ")</f>
        <v>RMS_EDM__Quarterly_USEQ</v>
      </c>
      <c r="C4" s="3" t="s">
        <v>31</v>
      </c>
      <c r="D4" s="3" t="s">
        <v>32</v>
      </c>
    </row>
    <row r="5" spans="1:4">
      <c r="A5" s="8" t="s">
        <v>33</v>
      </c>
      <c r="B5" s="3" t="str">
        <f>_xlfn.CONCAT("RMS_EDM_",Metadata!$B$1,"_Quarterly_USEQ")</f>
        <v>RMS_EDM__Quarterly_USEQ</v>
      </c>
      <c r="C5" s="3" t="s">
        <v>31</v>
      </c>
      <c r="D5" s="3" t="s">
        <v>32</v>
      </c>
    </row>
    <row r="6" spans="1:4">
      <c r="A6" s="8" t="s">
        <v>34</v>
      </c>
      <c r="B6" s="3" t="str">
        <f>_xlfn.CONCAT("RMS_EDM_",Metadata!$B$1,"_Quarterly_USEQ")</f>
        <v>RMS_EDM__Quarterly_USEQ</v>
      </c>
      <c r="C6" s="3" t="s">
        <v>31</v>
      </c>
      <c r="D6" s="3" t="s">
        <v>32</v>
      </c>
    </row>
    <row r="7" spans="1:4">
      <c r="A7" s="8" t="s">
        <v>35</v>
      </c>
      <c r="B7" s="3" t="str">
        <f>_xlfn.CONCAT("RMS_EDM_",Metadata!$B$1,"_Quarterly_USEQ")</f>
        <v>RMS_EDM__Quarterly_USEQ</v>
      </c>
      <c r="C7" s="3" t="s">
        <v>31</v>
      </c>
      <c r="D7" s="3" t="s">
        <v>32</v>
      </c>
    </row>
    <row r="8" spans="1:4">
      <c r="A8" s="8" t="s">
        <v>36</v>
      </c>
      <c r="B8" s="3" t="str">
        <f>_xlfn.CONCAT("RMS_EDM_",Metadata!$B$1,"_Quarterly_USEQ")</f>
        <v>RMS_EDM__Quarterly_USEQ</v>
      </c>
      <c r="C8" s="3" t="s">
        <v>31</v>
      </c>
      <c r="D8" s="3" t="s">
        <v>32</v>
      </c>
    </row>
    <row r="9" spans="1:4">
      <c r="A9" s="3" t="s">
        <v>37</v>
      </c>
      <c r="B9" s="3" t="str">
        <f>_xlfn.CONCAT("RMS_EDM_",Metadata!$B$1,"_Quarterly_USEQ")</f>
        <v>RMS_EDM__Quarterly_USEQ</v>
      </c>
      <c r="C9" s="3" t="s">
        <v>31</v>
      </c>
      <c r="D9" s="3" t="s">
        <v>32</v>
      </c>
    </row>
    <row r="10" spans="1:4">
      <c r="A10" s="3" t="s">
        <v>31</v>
      </c>
      <c r="B10" s="3" t="str">
        <f>_xlfn.CONCAT("RMS_EDM_",Metadata!$B$1,"_Quarterly_USEQ")</f>
        <v>RMS_EDM__Quarterly_USEQ</v>
      </c>
      <c r="C10" s="3" t="s">
        <v>31</v>
      </c>
      <c r="D10" s="3" t="s">
        <v>7</v>
      </c>
    </row>
    <row r="11" spans="1:4">
      <c r="A11" s="3" t="s">
        <v>38</v>
      </c>
      <c r="B11" s="3" t="str">
        <f>_xlfn.CONCAT("RMS_EDM_",Metadata!$B$1,"_Quarterly_USFF")</f>
        <v>RMS_EDM__Quarterly_USFF</v>
      </c>
      <c r="C11" s="3" t="s">
        <v>39</v>
      </c>
      <c r="D11" s="3" t="s">
        <v>32</v>
      </c>
    </row>
    <row r="12" spans="1:4">
      <c r="A12" s="3" t="s">
        <v>40</v>
      </c>
      <c r="B12" s="3" t="str">
        <f>_xlfn.CONCAT("RMS_EDM_",Metadata!$B$1,"_Quarterly_USFF")</f>
        <v>RMS_EDM__Quarterly_USFF</v>
      </c>
      <c r="C12" s="3" t="s">
        <v>39</v>
      </c>
      <c r="D12" s="3" t="s">
        <v>32</v>
      </c>
    </row>
    <row r="13" spans="1:4">
      <c r="A13" s="3" t="s">
        <v>41</v>
      </c>
      <c r="B13" s="3" t="str">
        <f>_xlfn.CONCAT("RMS_EDM_",Metadata!$B$1,"_Quarterly_USFF")</f>
        <v>RMS_EDM__Quarterly_USFF</v>
      </c>
      <c r="C13" s="3" t="s">
        <v>39</v>
      </c>
      <c r="D13" s="3" t="s">
        <v>32</v>
      </c>
    </row>
    <row r="14" spans="1:4">
      <c r="A14" s="3" t="s">
        <v>42</v>
      </c>
      <c r="B14" s="3" t="str">
        <f>_xlfn.CONCAT("RMS_EDM_",Metadata!$B$1,"_Quarterly_USFF")</f>
        <v>RMS_EDM__Quarterly_USFF</v>
      </c>
      <c r="C14" s="3" t="s">
        <v>39</v>
      </c>
      <c r="D14" s="3" t="s">
        <v>32</v>
      </c>
    </row>
    <row r="15" spans="1:4">
      <c r="A15" s="3" t="s">
        <v>43</v>
      </c>
      <c r="B15" s="3" t="str">
        <f>_xlfn.CONCAT("RMS_EDM_",Metadata!$B$1,"_Quarterly_USFF")</f>
        <v>RMS_EDM__Quarterly_USFF</v>
      </c>
      <c r="C15" s="3" t="s">
        <v>39</v>
      </c>
      <c r="D15" s="3" t="s">
        <v>32</v>
      </c>
    </row>
    <row r="16" spans="1:4">
      <c r="A16" s="3" t="s">
        <v>44</v>
      </c>
      <c r="B16" s="3" t="str">
        <f>_xlfn.CONCAT("RMS_EDM_",Metadata!$B$1,"_Quarterly_USFF")</f>
        <v>RMS_EDM__Quarterly_USFF</v>
      </c>
      <c r="C16" s="3" t="s">
        <v>39</v>
      </c>
      <c r="D16" s="3" t="s">
        <v>32</v>
      </c>
    </row>
    <row r="17" spans="1:4">
      <c r="A17" s="3" t="s">
        <v>45</v>
      </c>
      <c r="B17" s="3" t="str">
        <f>_xlfn.CONCAT("RMS_EDM_",Metadata!$B$1,"_Quarterly_USFF")</f>
        <v>RMS_EDM__Quarterly_USFF</v>
      </c>
      <c r="C17" s="3" t="s">
        <v>39</v>
      </c>
      <c r="D17" s="3" t="s">
        <v>32</v>
      </c>
    </row>
    <row r="18" spans="1:4">
      <c r="A18" s="3" t="s">
        <v>46</v>
      </c>
      <c r="B18" s="3" t="str">
        <f>_xlfn.CONCAT("RMS_EDM_",Metadata!$B$1,"_Quarterly_USFF")</f>
        <v>RMS_EDM__Quarterly_USFF</v>
      </c>
      <c r="C18" s="3" t="s">
        <v>39</v>
      </c>
      <c r="D18" s="3" t="s">
        <v>32</v>
      </c>
    </row>
    <row r="19" spans="1:4">
      <c r="A19" s="3" t="s">
        <v>47</v>
      </c>
      <c r="B19" s="3" t="str">
        <f>_xlfn.CONCAT("RMS_EDM_",Metadata!$B$1,"_Quarterly_USFF")</f>
        <v>RMS_EDM__Quarterly_USFF</v>
      </c>
      <c r="C19" s="3" t="s">
        <v>39</v>
      </c>
      <c r="D19" s="3" t="s">
        <v>32</v>
      </c>
    </row>
    <row r="20" spans="1:4">
      <c r="A20" s="3" t="s">
        <v>48</v>
      </c>
      <c r="B20" s="3" t="str">
        <f>_xlfn.CONCAT("RMS_EDM_",Metadata!$B$1,"_Quarterly_USFF")</f>
        <v>RMS_EDM__Quarterly_USFF</v>
      </c>
      <c r="C20" s="3" t="s">
        <v>39</v>
      </c>
      <c r="D20" s="3" t="s">
        <v>32</v>
      </c>
    </row>
    <row r="21" spans="1:4">
      <c r="A21" s="3" t="s">
        <v>39</v>
      </c>
      <c r="B21" s="3" t="str">
        <f>_xlfn.CONCAT("RMS_EDM_",Metadata!$B$1,"_Quarterly_USFF")</f>
        <v>RMS_EDM__Quarterly_USFF</v>
      </c>
      <c r="C21" s="3" t="s">
        <v>39</v>
      </c>
      <c r="D21" s="3" t="s">
        <v>7</v>
      </c>
    </row>
    <row r="22" spans="1:4">
      <c r="A22" s="3" t="s">
        <v>49</v>
      </c>
      <c r="B22" s="3" t="str">
        <f>_xlfn.CONCAT("RMS_EDM_",Metadata!$B$1,"_Quarterly_USFL")</f>
        <v>RMS_EDM__Quarterly_USFL</v>
      </c>
      <c r="C22" s="3" t="s">
        <v>50</v>
      </c>
      <c r="D22" s="3" t="s">
        <v>32</v>
      </c>
    </row>
    <row r="23" spans="1:4">
      <c r="A23" s="3" t="s">
        <v>51</v>
      </c>
      <c r="B23" s="3" t="str">
        <f>_xlfn.CONCAT("RMS_EDM_",Metadata!$B$1,"_Quarterly_USFL")</f>
        <v>RMS_EDM__Quarterly_USFL</v>
      </c>
      <c r="C23" s="3" t="s">
        <v>50</v>
      </c>
      <c r="D23" s="3" t="s">
        <v>32</v>
      </c>
    </row>
    <row r="24" spans="1:4">
      <c r="A24" s="3" t="s">
        <v>52</v>
      </c>
      <c r="B24" s="3" t="str">
        <f>_xlfn.CONCAT("RMS_EDM_",Metadata!$B$1,"_Quarterly_USFL")</f>
        <v>RMS_EDM__Quarterly_USFL</v>
      </c>
      <c r="C24" s="3" t="s">
        <v>50</v>
      </c>
      <c r="D24" s="3" t="s">
        <v>32</v>
      </c>
    </row>
    <row r="25" spans="1:4">
      <c r="A25" s="3" t="s">
        <v>53</v>
      </c>
      <c r="B25" s="3" t="str">
        <f>_xlfn.CONCAT("RMS_EDM_",Metadata!$B$1,"_Quarterly_USFL")</f>
        <v>RMS_EDM__Quarterly_USFL</v>
      </c>
      <c r="C25" s="3" t="s">
        <v>50</v>
      </c>
      <c r="D25" s="3" t="s">
        <v>32</v>
      </c>
    </row>
    <row r="26" spans="1:4">
      <c r="A26" s="3" t="s">
        <v>54</v>
      </c>
      <c r="B26" s="3" t="str">
        <f>_xlfn.CONCAT("RMS_EDM_",Metadata!$B$1,"_Quarterly_USFL")</f>
        <v>RMS_EDM__Quarterly_USFL</v>
      </c>
      <c r="C26" s="3" t="s">
        <v>50</v>
      </c>
      <c r="D26" s="3" t="s">
        <v>32</v>
      </c>
    </row>
    <row r="27" spans="1:4">
      <c r="A27" s="3" t="s">
        <v>55</v>
      </c>
      <c r="B27" s="3" t="str">
        <f>_xlfn.CONCAT("RMS_EDM_",Metadata!$B$1,"_Quarterly_USFL")</f>
        <v>RMS_EDM__Quarterly_USFL</v>
      </c>
      <c r="C27" s="3" t="s">
        <v>50</v>
      </c>
      <c r="D27" s="3" t="s">
        <v>32</v>
      </c>
    </row>
    <row r="28" spans="1:4">
      <c r="A28" s="3" t="s">
        <v>56</v>
      </c>
      <c r="B28" s="3" t="str">
        <f>_xlfn.CONCAT("RMS_EDM_",Metadata!$B$1,"_Quarterly_USFL")</f>
        <v>RMS_EDM__Quarterly_USFL</v>
      </c>
      <c r="C28" s="3" t="s">
        <v>50</v>
      </c>
      <c r="D28" s="3" t="s">
        <v>32</v>
      </c>
    </row>
    <row r="29" spans="1:4">
      <c r="A29" s="3" t="s">
        <v>50</v>
      </c>
      <c r="B29" s="3" t="str">
        <f>_xlfn.CONCAT("RMS_EDM_",Metadata!$B$1,"_Quarterly_USFL")</f>
        <v>RMS_EDM__Quarterly_USFL</v>
      </c>
      <c r="C29" s="3" t="s">
        <v>50</v>
      </c>
      <c r="D29" s="3" t="s">
        <v>7</v>
      </c>
    </row>
    <row r="30" spans="1:4">
      <c r="A30" s="3" t="s">
        <v>57</v>
      </c>
      <c r="B30" s="3" t="str">
        <f>_xlfn.CONCAT("RMS_EDM_",Metadata!$B$1,"_Quarterly_USFL")</f>
        <v>RMS_EDM__Quarterly_USFL</v>
      </c>
      <c r="C30" s="3" t="s">
        <v>57</v>
      </c>
      <c r="D30" s="3" t="s">
        <v>7</v>
      </c>
    </row>
    <row r="31" spans="1:4">
      <c r="A31" s="3" t="s">
        <v>58</v>
      </c>
      <c r="B31" s="3" t="str">
        <f>_xlfn.CONCAT("RMS_EDM_",Metadata!$B$1,"_Quarterly_USFL")</f>
        <v>RMS_EDM__Quarterly_USFL</v>
      </c>
      <c r="C31" s="3" t="s">
        <v>58</v>
      </c>
      <c r="D31" s="3" t="s">
        <v>7</v>
      </c>
    </row>
    <row r="32" spans="1:4">
      <c r="A32" s="3" t="s">
        <v>59</v>
      </c>
      <c r="B32" s="3" t="str">
        <f>_xlfn.CONCAT("RMS_EDM_",Metadata!$B$1,"_Quarterly_USHU")</f>
        <v>RMS_EDM__Quarterly_USHU</v>
      </c>
      <c r="C32" s="3" t="s">
        <v>60</v>
      </c>
      <c r="D32" s="3" t="s">
        <v>32</v>
      </c>
    </row>
    <row r="33" spans="1:4">
      <c r="A33" s="3" t="s">
        <v>61</v>
      </c>
      <c r="B33" s="3" t="str">
        <f>_xlfn.CONCAT("RMS_EDM_",Metadata!$B$1,"_Quarterly_USHU")</f>
        <v>RMS_EDM__Quarterly_USHU</v>
      </c>
      <c r="C33" s="3" t="s">
        <v>60</v>
      </c>
      <c r="D33" s="3" t="s">
        <v>32</v>
      </c>
    </row>
    <row r="34" spans="1:4">
      <c r="A34" s="3" t="s">
        <v>62</v>
      </c>
      <c r="B34" s="3" t="str">
        <f>_xlfn.CONCAT("RMS_EDM_",Metadata!$B$1,"_Quarterly_USHU")</f>
        <v>RMS_EDM__Quarterly_USHU</v>
      </c>
      <c r="C34" s="3" t="s">
        <v>63</v>
      </c>
      <c r="D34" s="3" t="s">
        <v>32</v>
      </c>
    </row>
    <row r="35" spans="1:4">
      <c r="A35" s="3" t="s">
        <v>64</v>
      </c>
      <c r="B35" s="3" t="str">
        <f>_xlfn.CONCAT("RMS_EDM_",Metadata!$B$1,"_Quarterly_USHU")</f>
        <v>RMS_EDM__Quarterly_USHU</v>
      </c>
      <c r="C35" s="3" t="s">
        <v>63</v>
      </c>
      <c r="D35" s="3" t="s">
        <v>32</v>
      </c>
    </row>
    <row r="36" spans="1:4">
      <c r="A36" s="3" t="s">
        <v>65</v>
      </c>
      <c r="B36" s="3" t="str">
        <f>_xlfn.CONCAT("RMS_EDM_",Metadata!$B$1,"_Quarterly_USHU")</f>
        <v>RMS_EDM__Quarterly_USHU</v>
      </c>
      <c r="C36" s="3" t="s">
        <v>63</v>
      </c>
      <c r="D36" s="3" t="s">
        <v>32</v>
      </c>
    </row>
    <row r="37" spans="1:4">
      <c r="A37" s="3" t="s">
        <v>66</v>
      </c>
      <c r="B37" s="3" t="str">
        <f>_xlfn.CONCAT("RMS_EDM_",Metadata!$B$1,"_Quarterly_USHU")</f>
        <v>RMS_EDM__Quarterly_USHU</v>
      </c>
      <c r="C37" s="3" t="s">
        <v>63</v>
      </c>
      <c r="D37" s="3" t="s">
        <v>32</v>
      </c>
    </row>
    <row r="38" spans="1:4">
      <c r="A38" s="3" t="s">
        <v>67</v>
      </c>
      <c r="B38" s="3" t="str">
        <f>_xlfn.CONCAT("RMS_EDM_",Metadata!$B$1,"_Quarterly_USHU")</f>
        <v>RMS_EDM__Quarterly_USHU</v>
      </c>
      <c r="C38" s="3" t="s">
        <v>63</v>
      </c>
      <c r="D38" s="3" t="s">
        <v>32</v>
      </c>
    </row>
    <row r="39" spans="1:4">
      <c r="A39" s="3" t="s">
        <v>68</v>
      </c>
      <c r="B39" s="3" t="str">
        <f>_xlfn.CONCAT("RMS_EDM_",Metadata!$B$1,"_Quarterly_USHU")</f>
        <v>RMS_EDM__Quarterly_USHU</v>
      </c>
      <c r="C39" s="3" t="s">
        <v>63</v>
      </c>
      <c r="D39" s="3" t="s">
        <v>32</v>
      </c>
    </row>
    <row r="40" spans="1:4">
      <c r="A40" s="3" t="s">
        <v>69</v>
      </c>
      <c r="B40" s="3" t="str">
        <f>_xlfn.CONCAT("RMS_EDM_",Metadata!$B$1,"_Quarterly_USHU")</f>
        <v>RMS_EDM__Quarterly_USHU</v>
      </c>
      <c r="C40" s="3" t="s">
        <v>60</v>
      </c>
      <c r="D40" s="3" t="s">
        <v>32</v>
      </c>
    </row>
    <row r="41" spans="1:4">
      <c r="A41" s="3" t="s">
        <v>70</v>
      </c>
      <c r="B41" s="3" t="str">
        <f>_xlfn.CONCAT("RMS_EDM_",Metadata!$B$1,"_Quarterly_USHU")</f>
        <v>RMS_EDM__Quarterly_USHU</v>
      </c>
      <c r="C41" s="3" t="s">
        <v>60</v>
      </c>
      <c r="D41" s="3" t="s">
        <v>32</v>
      </c>
    </row>
    <row r="42" spans="1:4">
      <c r="A42" s="3" t="s">
        <v>71</v>
      </c>
      <c r="B42" s="3" t="str">
        <f>_xlfn.CONCAT("RMS_EDM_",Metadata!$B$1,"_Quarterly_USHU")</f>
        <v>RMS_EDM__Quarterly_USHU</v>
      </c>
      <c r="C42" s="3" t="s">
        <v>60</v>
      </c>
      <c r="D42" s="3" t="s">
        <v>32</v>
      </c>
    </row>
    <row r="43" spans="1:4">
      <c r="A43" s="3" t="s">
        <v>72</v>
      </c>
      <c r="B43" s="3" t="str">
        <f>_xlfn.CONCAT("RMS_EDM_",Metadata!$B$1,"_Quarterly_USHU")</f>
        <v>RMS_EDM__Quarterly_USHU</v>
      </c>
      <c r="C43" s="3" t="s">
        <v>60</v>
      </c>
      <c r="D43" s="3" t="s">
        <v>32</v>
      </c>
    </row>
    <row r="44" spans="1:4">
      <c r="A44" s="3" t="s">
        <v>73</v>
      </c>
      <c r="B44" s="3" t="str">
        <f>_xlfn.CONCAT("RMS_EDM_",Metadata!$B$1,"_Quarterly_USHU")</f>
        <v>RMS_EDM__Quarterly_USHU</v>
      </c>
      <c r="C44" s="3" t="s">
        <v>60</v>
      </c>
      <c r="D44" s="3" t="s">
        <v>32</v>
      </c>
    </row>
    <row r="45" spans="1:4">
      <c r="A45" s="3" t="s">
        <v>74</v>
      </c>
      <c r="B45" s="3" t="str">
        <f>_xlfn.CONCAT("RMS_EDM_",Metadata!$B$1,"_Quarterly_USHU")</f>
        <v>RMS_EDM__Quarterly_USHU</v>
      </c>
      <c r="C45" s="3" t="s">
        <v>60</v>
      </c>
      <c r="D45" s="3" t="s">
        <v>32</v>
      </c>
    </row>
    <row r="46" spans="1:4">
      <c r="A46" s="3" t="s">
        <v>75</v>
      </c>
      <c r="B46" s="3" t="str">
        <f>_xlfn.CONCAT("RMS_EDM_",Metadata!$B$1,"_Quarterly_USHU")</f>
        <v>RMS_EDM__Quarterly_USHU</v>
      </c>
      <c r="C46" s="3" t="s">
        <v>60</v>
      </c>
      <c r="D46" s="3" t="s">
        <v>32</v>
      </c>
    </row>
    <row r="47" spans="1:4">
      <c r="A47" s="3" t="s">
        <v>76</v>
      </c>
      <c r="B47" s="3" t="str">
        <f>_xlfn.CONCAT("RMS_EDM_",Metadata!$B$1,"_Quarterly_USHU")</f>
        <v>RMS_EDM__Quarterly_USHU</v>
      </c>
      <c r="C47" s="3" t="s">
        <v>60</v>
      </c>
      <c r="D47" s="3" t="s">
        <v>32</v>
      </c>
    </row>
    <row r="48" spans="1:4">
      <c r="A48" s="3" t="s">
        <v>60</v>
      </c>
      <c r="B48" s="3" t="str">
        <f>_xlfn.CONCAT("RMS_EDM_",Metadata!$B$1,"_Quarterly_USHU")</f>
        <v>RMS_EDM__Quarterly_USHU</v>
      </c>
      <c r="C48" s="3" t="s">
        <v>60</v>
      </c>
      <c r="D48" s="3" t="s">
        <v>7</v>
      </c>
    </row>
    <row r="49" spans="1:4">
      <c r="A49" s="3" t="s">
        <v>63</v>
      </c>
      <c r="B49" s="3" t="str">
        <f>_xlfn.CONCAT("RMS_EDM_",Metadata!$B$1,"_Quarterly_USHU")</f>
        <v>RMS_EDM__Quarterly_USHU</v>
      </c>
      <c r="C49" s="3" t="s">
        <v>63</v>
      </c>
      <c r="D49" s="3" t="s">
        <v>7</v>
      </c>
    </row>
    <row r="50" spans="1:4">
      <c r="A50" s="3" t="s">
        <v>77</v>
      </c>
      <c r="B50" s="3" t="str">
        <f>_xlfn.CONCAT("RMS_EDM_",Metadata!$B$1,"_Quarterly_USST")</f>
        <v>RMS_EDM__Quarterly_USST</v>
      </c>
      <c r="C50" s="3" t="s">
        <v>78</v>
      </c>
      <c r="D50" s="3" t="s">
        <v>32</v>
      </c>
    </row>
    <row r="51" spans="1:4">
      <c r="A51" s="3" t="s">
        <v>79</v>
      </c>
      <c r="B51" s="3" t="str">
        <f>_xlfn.CONCAT("RMS_EDM_",Metadata!$B$1,"_Quarterly_USST")</f>
        <v>RMS_EDM__Quarterly_USST</v>
      </c>
      <c r="C51" s="3" t="s">
        <v>78</v>
      </c>
      <c r="D51" s="3" t="s">
        <v>32</v>
      </c>
    </row>
    <row r="52" spans="1:4">
      <c r="A52" s="3" t="s">
        <v>80</v>
      </c>
      <c r="B52" s="3" t="str">
        <f>_xlfn.CONCAT("RMS_EDM_",Metadata!$B$1,"_Quarterly_USST")</f>
        <v>RMS_EDM__Quarterly_USST</v>
      </c>
      <c r="C52" s="3" t="s">
        <v>78</v>
      </c>
      <c r="D52" s="3" t="s">
        <v>32</v>
      </c>
    </row>
    <row r="53" spans="1:4">
      <c r="A53" s="3" t="s">
        <v>81</v>
      </c>
      <c r="B53" s="3" t="str">
        <f>_xlfn.CONCAT("RMS_EDM_",Metadata!$B$1,"_Quarterly_USST")</f>
        <v>RMS_EDM__Quarterly_USST</v>
      </c>
      <c r="C53" s="3" t="s">
        <v>78</v>
      </c>
      <c r="D53" s="3" t="s">
        <v>32</v>
      </c>
    </row>
    <row r="54" spans="1:4">
      <c r="A54" s="3" t="s">
        <v>82</v>
      </c>
      <c r="B54" s="3" t="str">
        <f>_xlfn.CONCAT("RMS_EDM_",Metadata!$B$1,"_Quarterly_USST")</f>
        <v>RMS_EDM__Quarterly_USST</v>
      </c>
      <c r="C54" s="3" t="s">
        <v>78</v>
      </c>
      <c r="D54" s="3" t="s">
        <v>32</v>
      </c>
    </row>
    <row r="55" spans="1:4">
      <c r="A55" s="3" t="s">
        <v>83</v>
      </c>
      <c r="B55" s="3" t="str">
        <f>_xlfn.CONCAT("RMS_EDM_",Metadata!$B$1,"_Quarterly_USST")</f>
        <v>RMS_EDM__Quarterly_USST</v>
      </c>
      <c r="C55" s="3" t="s">
        <v>78</v>
      </c>
      <c r="D55" s="3" t="s">
        <v>32</v>
      </c>
    </row>
    <row r="56" spans="1:4">
      <c r="A56" s="3" t="s">
        <v>84</v>
      </c>
      <c r="B56" s="3" t="str">
        <f>_xlfn.CONCAT("RMS_EDM_",Metadata!$B$1,"_Quarterly_USST")</f>
        <v>RMS_EDM__Quarterly_USST</v>
      </c>
      <c r="C56" s="3" t="s">
        <v>78</v>
      </c>
      <c r="D56" s="3" t="s">
        <v>32</v>
      </c>
    </row>
    <row r="57" spans="1:4">
      <c r="A57" s="3" t="s">
        <v>85</v>
      </c>
      <c r="B57" s="3" t="str">
        <f>_xlfn.CONCAT("RMS_EDM_",Metadata!$B$1,"_Quarterly_USST")</f>
        <v>RMS_EDM__Quarterly_USST</v>
      </c>
      <c r="C57" s="3" t="s">
        <v>78</v>
      </c>
      <c r="D57" s="3" t="s">
        <v>32</v>
      </c>
    </row>
    <row r="58" spans="1:4">
      <c r="A58" s="3" t="s">
        <v>86</v>
      </c>
      <c r="B58" s="3" t="str">
        <f>_xlfn.CONCAT("RMS_EDM_",Metadata!$B$1,"_Quarterly_USST")</f>
        <v>RMS_EDM__Quarterly_USST</v>
      </c>
      <c r="C58" s="3" t="s">
        <v>78</v>
      </c>
      <c r="D58" s="3" t="s">
        <v>32</v>
      </c>
    </row>
    <row r="59" spans="1:4">
      <c r="A59" s="3" t="s">
        <v>87</v>
      </c>
      <c r="B59" s="3" t="str">
        <f>_xlfn.CONCAT("RMS_EDM_",Metadata!$B$1,"_Quarterly_USST")</f>
        <v>RMS_EDM__Quarterly_USST</v>
      </c>
      <c r="C59" s="3" t="s">
        <v>78</v>
      </c>
      <c r="D59" s="3" t="s">
        <v>32</v>
      </c>
    </row>
    <row r="60" spans="1:4">
      <c r="A60" s="3" t="s">
        <v>78</v>
      </c>
      <c r="B60" s="3" t="str">
        <f>_xlfn.CONCAT("RMS_EDM_",Metadata!$B$1,"_Quarterly_USST")</f>
        <v>RMS_EDM__Quarterly_USST</v>
      </c>
      <c r="C60" s="3" t="s">
        <v>78</v>
      </c>
      <c r="D60" s="3" t="s">
        <v>7</v>
      </c>
    </row>
    <row r="61" spans="1:4">
      <c r="A61" s="3" t="s">
        <v>88</v>
      </c>
      <c r="B61" s="3" t="str">
        <f>_xlfn.CONCAT("RMS_EDM_",Metadata!$B$1,"_Quarterly_USWF")</f>
        <v>RMS_EDM__Quarterly_USWF</v>
      </c>
      <c r="C61" s="3" t="s">
        <v>89</v>
      </c>
      <c r="D61" s="3" t="s">
        <v>32</v>
      </c>
    </row>
    <row r="62" spans="1:4">
      <c r="A62" s="3" t="s">
        <v>90</v>
      </c>
      <c r="B62" s="3" t="str">
        <f>_xlfn.CONCAT("RMS_EDM_",Metadata!$B$1,"_Quarterly_USWF")</f>
        <v>RMS_EDM__Quarterly_USWF</v>
      </c>
      <c r="C62" s="3" t="s">
        <v>89</v>
      </c>
      <c r="D62" s="3" t="s">
        <v>32</v>
      </c>
    </row>
    <row r="63" spans="1:4">
      <c r="A63" s="3" t="s">
        <v>91</v>
      </c>
      <c r="B63" s="3" t="str">
        <f>_xlfn.CONCAT("RMS_EDM_",Metadata!$B$1,"_Quarterly_USWF")</f>
        <v>RMS_EDM__Quarterly_USWF</v>
      </c>
      <c r="C63" s="3" t="s">
        <v>89</v>
      </c>
      <c r="D63" s="3" t="s">
        <v>32</v>
      </c>
    </row>
    <row r="64" spans="1:4">
      <c r="A64" s="3" t="s">
        <v>92</v>
      </c>
      <c r="B64" s="3" t="str">
        <f>_xlfn.CONCAT("RMS_EDM_",Metadata!$B$1,"_Quarterly_USWF")</f>
        <v>RMS_EDM__Quarterly_USWF</v>
      </c>
      <c r="C64" s="3" t="s">
        <v>89</v>
      </c>
      <c r="D64" s="3" t="s">
        <v>32</v>
      </c>
    </row>
    <row r="65" spans="1:4">
      <c r="A65" s="3" t="s">
        <v>93</v>
      </c>
      <c r="B65" s="3" t="str">
        <f>_xlfn.CONCAT("RMS_EDM_",Metadata!$B$1,"_Quarterly_USWF")</f>
        <v>RMS_EDM__Quarterly_USWF</v>
      </c>
      <c r="C65" s="3" t="s">
        <v>89</v>
      </c>
      <c r="D65" s="3" t="s">
        <v>32</v>
      </c>
    </row>
    <row r="66" spans="1:4">
      <c r="A66" s="3" t="s">
        <v>94</v>
      </c>
      <c r="B66" s="3" t="str">
        <f>_xlfn.CONCAT("RMS_EDM_",Metadata!$B$1,"_Quarterly_USWF")</f>
        <v>RMS_EDM__Quarterly_USWF</v>
      </c>
      <c r="C66" s="3" t="s">
        <v>89</v>
      </c>
      <c r="D66" s="3" t="s">
        <v>32</v>
      </c>
    </row>
    <row r="67" spans="1:4">
      <c r="A67" s="3" t="s">
        <v>95</v>
      </c>
      <c r="B67" s="3" t="str">
        <f>_xlfn.CONCAT("RMS_EDM_",Metadata!$B$1,"_Quarterly_USWF")</f>
        <v>RMS_EDM__Quarterly_USWF</v>
      </c>
      <c r="C67" s="3" t="s">
        <v>89</v>
      </c>
      <c r="D67" s="3" t="s">
        <v>32</v>
      </c>
    </row>
    <row r="68" spans="1:4">
      <c r="A68" s="3" t="s">
        <v>96</v>
      </c>
      <c r="B68" s="3" t="str">
        <f>_xlfn.CONCAT("RMS_EDM_",Metadata!$B$1,"_Quarterly_USWF")</f>
        <v>RMS_EDM__Quarterly_USWF</v>
      </c>
      <c r="C68" s="3" t="s">
        <v>89</v>
      </c>
      <c r="D68" s="3" t="s">
        <v>32</v>
      </c>
    </row>
    <row r="69" spans="1:4">
      <c r="A69" s="3" t="s">
        <v>97</v>
      </c>
      <c r="B69" s="3" t="str">
        <f>_xlfn.CONCAT("RMS_EDM_",Metadata!$B$1,"_Quarterly_USWF")</f>
        <v>RMS_EDM__Quarterly_USWF</v>
      </c>
      <c r="C69" s="3" t="s">
        <v>89</v>
      </c>
      <c r="D69" s="3" t="s">
        <v>32</v>
      </c>
    </row>
    <row r="70" spans="1:4">
      <c r="A70" s="3" t="s">
        <v>98</v>
      </c>
      <c r="B70" s="3" t="str">
        <f>_xlfn.CONCAT("RMS_EDM_",Metadata!$B$1,"_Quarterly_USWF")</f>
        <v>RMS_EDM__Quarterly_USWF</v>
      </c>
      <c r="C70" s="3" t="s">
        <v>89</v>
      </c>
      <c r="D70" s="3" t="s">
        <v>32</v>
      </c>
    </row>
    <row r="71" spans="1:4">
      <c r="A71" s="3" t="s">
        <v>89</v>
      </c>
      <c r="B71" s="3" t="str">
        <f>_xlfn.CONCAT("RMS_EDM_",Metadata!$B$1,"_Quarterly_USWF")</f>
        <v>RMS_EDM__Quarterly_USWF</v>
      </c>
      <c r="C71" s="3" t="s">
        <v>89</v>
      </c>
      <c r="D71" s="3" t="s">
        <v>7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</row>
    <row r="2" spans="1:23">
      <c r="A2" s="3" t="s">
        <v>122</v>
      </c>
      <c r="B2" s="3" t="s">
        <v>122</v>
      </c>
      <c r="C2" s="3" t="s">
        <v>123</v>
      </c>
      <c r="D2" s="17">
        <v>3000000</v>
      </c>
      <c r="E2" s="17">
        <v>9000000</v>
      </c>
      <c r="F2" s="17">
        <v>2000000</v>
      </c>
      <c r="G2" s="9">
        <v>36526</v>
      </c>
      <c r="H2" s="9">
        <v>47848</v>
      </c>
      <c r="I2" s="3" t="s">
        <v>124</v>
      </c>
      <c r="J2" s="3" t="s">
        <v>125</v>
      </c>
      <c r="K2" s="3" t="s">
        <v>126</v>
      </c>
      <c r="L2" s="16">
        <v>100</v>
      </c>
      <c r="M2" s="16">
        <v>95</v>
      </c>
      <c r="N2" s="16">
        <v>100</v>
      </c>
      <c r="O2" s="16">
        <v>100</v>
      </c>
      <c r="P2" s="16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127</v>
      </c>
      <c r="B3" s="3" t="s">
        <v>127</v>
      </c>
      <c r="C3" s="3" t="s">
        <v>123</v>
      </c>
      <c r="D3" s="17">
        <v>5000000</v>
      </c>
      <c r="E3" s="17">
        <v>10000000</v>
      </c>
      <c r="F3" s="17">
        <v>5000000</v>
      </c>
      <c r="G3" s="9">
        <v>36526</v>
      </c>
      <c r="H3" s="9">
        <v>47848</v>
      </c>
      <c r="I3" s="3" t="s">
        <v>124</v>
      </c>
      <c r="J3" s="3" t="s">
        <v>125</v>
      </c>
      <c r="K3" s="3" t="s">
        <v>126</v>
      </c>
      <c r="L3" s="16">
        <v>100</v>
      </c>
      <c r="M3" s="16">
        <v>100</v>
      </c>
      <c r="N3" s="16">
        <v>100</v>
      </c>
      <c r="O3" s="16">
        <v>100</v>
      </c>
      <c r="P3" s="16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128</v>
      </c>
      <c r="B4" s="3" t="s">
        <v>128</v>
      </c>
      <c r="C4" s="3" t="s">
        <v>129</v>
      </c>
      <c r="D4" s="17">
        <v>3000000</v>
      </c>
      <c r="E4" s="17">
        <v>169835616</v>
      </c>
      <c r="F4" s="17">
        <v>0</v>
      </c>
      <c r="G4" s="9">
        <v>36526</v>
      </c>
      <c r="H4" s="9">
        <v>47848</v>
      </c>
      <c r="I4" s="3" t="s">
        <v>124</v>
      </c>
      <c r="J4" s="3" t="s">
        <v>125</v>
      </c>
      <c r="K4" s="3" t="s">
        <v>126</v>
      </c>
      <c r="L4" s="16">
        <v>100</v>
      </c>
      <c r="M4" s="16">
        <v>75</v>
      </c>
      <c r="N4" s="16">
        <v>100</v>
      </c>
      <c r="O4" s="16">
        <v>100</v>
      </c>
      <c r="P4" s="16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130</v>
      </c>
      <c r="B1" s="7" t="s">
        <v>26</v>
      </c>
      <c r="C1" s="1" t="s">
        <v>131</v>
      </c>
      <c r="D1" s="1" t="s">
        <v>132</v>
      </c>
    </row>
    <row r="2" spans="1:4">
      <c r="A2" s="3" t="s">
        <v>133</v>
      </c>
      <c r="B2" s="15" t="s">
        <v>29</v>
      </c>
      <c r="C2" s="3">
        <v>0</v>
      </c>
      <c r="D2" s="3">
        <v>1</v>
      </c>
    </row>
    <row r="3" spans="1:4">
      <c r="A3" s="3" t="s">
        <v>134</v>
      </c>
      <c r="B3" s="15" t="s">
        <v>29</v>
      </c>
      <c r="C3" s="3">
        <v>20</v>
      </c>
      <c r="D3" s="3">
        <v>30</v>
      </c>
    </row>
    <row r="4" spans="1:4">
      <c r="A4" s="3" t="s">
        <v>135</v>
      </c>
      <c r="B4" s="15" t="s">
        <v>29</v>
      </c>
      <c r="C4" s="3">
        <v>0</v>
      </c>
      <c r="D4" s="3">
        <v>30</v>
      </c>
    </row>
    <row r="5" spans="1:4">
      <c r="A5" s="3" t="s">
        <v>136</v>
      </c>
      <c r="B5" s="15" t="s">
        <v>29</v>
      </c>
      <c r="C5" s="3">
        <v>0</v>
      </c>
      <c r="D5" s="3">
        <v>1</v>
      </c>
    </row>
    <row r="6" spans="1:4">
      <c r="A6" s="3" t="s">
        <v>137</v>
      </c>
      <c r="B6" s="15" t="s">
        <v>29</v>
      </c>
      <c r="C6" s="3">
        <v>0</v>
      </c>
      <c r="D6" s="3">
        <v>30</v>
      </c>
    </row>
    <row r="7" spans="1:4">
      <c r="A7" s="3" t="s">
        <v>138</v>
      </c>
      <c r="B7" s="15" t="s">
        <v>29</v>
      </c>
      <c r="C7" s="3">
        <v>80</v>
      </c>
      <c r="D7" s="3">
        <v>30</v>
      </c>
    </row>
    <row r="8" spans="1:4">
      <c r="A8" s="3" t="s">
        <v>139</v>
      </c>
      <c r="B8" s="15" t="s">
        <v>29</v>
      </c>
      <c r="C8" s="3">
        <v>0</v>
      </c>
      <c r="D8" s="3">
        <v>1</v>
      </c>
    </row>
    <row r="9" spans="1:4">
      <c r="A9" s="3" t="s">
        <v>140</v>
      </c>
      <c r="B9" s="15" t="s">
        <v>29</v>
      </c>
      <c r="C9" s="3">
        <v>0</v>
      </c>
      <c r="D9" s="3">
        <v>1</v>
      </c>
    </row>
    <row r="10" spans="1:4">
      <c r="A10" s="3" t="s">
        <v>141</v>
      </c>
      <c r="B10" s="15" t="s">
        <v>29</v>
      </c>
      <c r="C10" s="3">
        <v>0</v>
      </c>
      <c r="D10" s="3">
        <v>1</v>
      </c>
    </row>
    <row r="11" spans="1:4">
      <c r="A11" s="3" t="s">
        <v>142</v>
      </c>
      <c r="B11" s="15" t="s">
        <v>29</v>
      </c>
      <c r="C11" s="3">
        <v>0</v>
      </c>
      <c r="D11" s="3">
        <v>1</v>
      </c>
    </row>
    <row r="12" spans="1:4">
      <c r="A12" s="3" t="s">
        <v>143</v>
      </c>
      <c r="B12" s="15" t="s">
        <v>29</v>
      </c>
      <c r="C12" s="3">
        <v>0</v>
      </c>
      <c r="D12" s="3">
        <v>1</v>
      </c>
    </row>
    <row r="13" spans="1:4">
      <c r="A13" s="3" t="s">
        <v>133</v>
      </c>
      <c r="B13" s="15" t="s">
        <v>28</v>
      </c>
      <c r="C13" s="3">
        <v>0</v>
      </c>
      <c r="D13" s="3">
        <v>0.1</v>
      </c>
    </row>
    <row r="14" spans="1:4">
      <c r="A14" s="3" t="s">
        <v>134</v>
      </c>
      <c r="B14" s="15" t="s">
        <v>28</v>
      </c>
      <c r="C14" s="3">
        <v>7</v>
      </c>
      <c r="D14" s="3">
        <v>3</v>
      </c>
    </row>
    <row r="15" spans="1:4">
      <c r="A15" s="3" t="s">
        <v>135</v>
      </c>
      <c r="B15" s="15" t="s">
        <v>28</v>
      </c>
      <c r="C15" s="3">
        <v>2.5</v>
      </c>
      <c r="D15" s="3">
        <v>1</v>
      </c>
    </row>
    <row r="16" spans="1:4">
      <c r="A16" s="3" t="s">
        <v>136</v>
      </c>
      <c r="B16" s="15" t="s">
        <v>28</v>
      </c>
      <c r="C16" s="3">
        <v>0</v>
      </c>
      <c r="D16" s="3">
        <v>0.1</v>
      </c>
    </row>
    <row r="17" spans="1:4">
      <c r="A17" s="3" t="s">
        <v>137</v>
      </c>
      <c r="B17" s="15" t="s">
        <v>28</v>
      </c>
      <c r="C17" s="3">
        <v>2</v>
      </c>
      <c r="D17" s="3">
        <v>1</v>
      </c>
    </row>
    <row r="18" spans="1:4">
      <c r="A18" s="3" t="s">
        <v>138</v>
      </c>
      <c r="B18" s="15" t="s">
        <v>28</v>
      </c>
      <c r="C18" s="3">
        <v>88.75</v>
      </c>
      <c r="D18" s="3">
        <v>5</v>
      </c>
    </row>
    <row r="19" spans="1:4">
      <c r="A19" s="3" t="s">
        <v>139</v>
      </c>
      <c r="B19" s="15" t="s">
        <v>28</v>
      </c>
      <c r="C19" s="3">
        <v>0</v>
      </c>
      <c r="D19" s="3">
        <v>0.1</v>
      </c>
    </row>
    <row r="20" spans="1:4">
      <c r="A20" s="3" t="s">
        <v>140</v>
      </c>
      <c r="B20" s="15" t="s">
        <v>28</v>
      </c>
      <c r="C20" s="3">
        <v>0</v>
      </c>
      <c r="D20" s="3">
        <v>0.1</v>
      </c>
    </row>
    <row r="21" spans="1:4">
      <c r="A21" s="3" t="s">
        <v>141</v>
      </c>
      <c r="B21" s="15" t="s">
        <v>28</v>
      </c>
      <c r="C21" s="3">
        <v>0</v>
      </c>
      <c r="D21" s="3">
        <v>0.1</v>
      </c>
    </row>
    <row r="22" spans="1:4">
      <c r="A22" s="3" t="s">
        <v>142</v>
      </c>
      <c r="B22" s="15" t="s">
        <v>28</v>
      </c>
      <c r="C22" s="3">
        <v>0</v>
      </c>
      <c r="D22" s="3">
        <v>0.1</v>
      </c>
    </row>
    <row r="23" spans="1:4">
      <c r="A23" s="3" t="s">
        <v>143</v>
      </c>
      <c r="B23" s="15" t="s">
        <v>28</v>
      </c>
      <c r="C23" s="3">
        <v>0</v>
      </c>
      <c r="D23" s="3">
        <v>0.1</v>
      </c>
    </row>
    <row r="24" spans="1:4">
      <c r="A24" s="3" t="s">
        <v>133</v>
      </c>
      <c r="B24" s="15" t="s">
        <v>31</v>
      </c>
      <c r="C24" s="3">
        <v>0</v>
      </c>
      <c r="D24" s="3">
        <v>1E-3</v>
      </c>
    </row>
    <row r="25" spans="1:4">
      <c r="A25" s="3" t="s">
        <v>134</v>
      </c>
      <c r="B25" s="15" t="s">
        <v>31</v>
      </c>
      <c r="C25" s="3">
        <v>93.2</v>
      </c>
      <c r="D25" s="3">
        <v>5</v>
      </c>
    </row>
    <row r="26" spans="1:4">
      <c r="A26" s="3" t="s">
        <v>135</v>
      </c>
      <c r="B26" s="15" t="s">
        <v>31</v>
      </c>
      <c r="C26" s="3">
        <v>2.7</v>
      </c>
      <c r="D26" s="3">
        <v>1</v>
      </c>
    </row>
    <row r="27" spans="1:4">
      <c r="A27" s="3" t="s">
        <v>136</v>
      </c>
      <c r="B27" s="15" t="s">
        <v>31</v>
      </c>
      <c r="C27" s="3">
        <v>0</v>
      </c>
      <c r="D27" s="3">
        <v>1E-3</v>
      </c>
    </row>
    <row r="28" spans="1:4">
      <c r="A28" s="3" t="s">
        <v>137</v>
      </c>
      <c r="B28" s="15" t="s">
        <v>31</v>
      </c>
      <c r="C28" s="3">
        <v>0.84</v>
      </c>
      <c r="D28" s="3">
        <v>0.5</v>
      </c>
    </row>
    <row r="29" spans="1:4">
      <c r="A29" s="3" t="s">
        <v>138</v>
      </c>
      <c r="B29" s="15" t="s">
        <v>31</v>
      </c>
      <c r="C29" s="3">
        <v>3</v>
      </c>
      <c r="D29" s="3">
        <v>1</v>
      </c>
    </row>
    <row r="30" spans="1:4">
      <c r="A30" s="3" t="s">
        <v>139</v>
      </c>
      <c r="B30" s="15" t="s">
        <v>31</v>
      </c>
      <c r="C30" s="3">
        <v>0</v>
      </c>
      <c r="D30" s="3">
        <v>1E-3</v>
      </c>
    </row>
    <row r="31" spans="1:4">
      <c r="A31" s="3" t="s">
        <v>140</v>
      </c>
      <c r="B31" s="15" t="s">
        <v>31</v>
      </c>
      <c r="C31" s="3">
        <v>0.03</v>
      </c>
      <c r="D31" s="3">
        <v>0.01</v>
      </c>
    </row>
    <row r="32" spans="1:4">
      <c r="A32" s="3" t="s">
        <v>141</v>
      </c>
      <c r="B32" s="15" t="s">
        <v>31</v>
      </c>
      <c r="C32" s="3">
        <v>0</v>
      </c>
      <c r="D32" s="3">
        <v>1E-3</v>
      </c>
    </row>
    <row r="33" spans="1:4">
      <c r="A33" s="3" t="s">
        <v>142</v>
      </c>
      <c r="B33" s="15" t="s">
        <v>31</v>
      </c>
      <c r="C33" s="3">
        <v>0</v>
      </c>
      <c r="D33" s="3">
        <v>1E-3</v>
      </c>
    </row>
    <row r="34" spans="1:4">
      <c r="A34" s="3" t="s">
        <v>143</v>
      </c>
      <c r="B34" s="15" t="s">
        <v>31</v>
      </c>
      <c r="C34" s="3">
        <v>0</v>
      </c>
      <c r="D34" s="3">
        <v>1E-3</v>
      </c>
    </row>
    <row r="35" spans="1:4">
      <c r="A35" s="3" t="s">
        <v>133</v>
      </c>
      <c r="B35" s="15" t="s">
        <v>78</v>
      </c>
      <c r="C35" s="3">
        <v>0</v>
      </c>
      <c r="D35" s="3">
        <v>1E-3</v>
      </c>
    </row>
    <row r="36" spans="1:4">
      <c r="A36" s="3" t="s">
        <v>134</v>
      </c>
      <c r="B36" s="15" t="s">
        <v>78</v>
      </c>
      <c r="C36" s="3">
        <v>97.5</v>
      </c>
      <c r="D36" s="3">
        <v>3</v>
      </c>
    </row>
    <row r="37" spans="1:4">
      <c r="A37" s="3" t="s">
        <v>135</v>
      </c>
      <c r="B37" s="15" t="s">
        <v>78</v>
      </c>
      <c r="C37" s="3">
        <v>1.05</v>
      </c>
      <c r="D37" s="3">
        <v>0.5</v>
      </c>
    </row>
    <row r="38" spans="1:4">
      <c r="A38" s="3" t="s">
        <v>136</v>
      </c>
      <c r="B38" s="15" t="s">
        <v>78</v>
      </c>
      <c r="C38" s="3">
        <v>0</v>
      </c>
      <c r="D38" s="3">
        <v>1E-3</v>
      </c>
    </row>
    <row r="39" spans="1:4">
      <c r="A39" s="3" t="s">
        <v>137</v>
      </c>
      <c r="B39" s="15" t="s">
        <v>78</v>
      </c>
      <c r="C39" s="3">
        <v>0.35</v>
      </c>
      <c r="D39" s="3">
        <v>0.5</v>
      </c>
    </row>
    <row r="40" spans="1:4">
      <c r="A40" s="3" t="s">
        <v>138</v>
      </c>
      <c r="B40" s="15" t="s">
        <v>78</v>
      </c>
      <c r="C40" s="3">
        <v>1</v>
      </c>
      <c r="D40" s="3">
        <v>0.5</v>
      </c>
    </row>
    <row r="41" spans="1:4">
      <c r="A41" s="3" t="s">
        <v>139</v>
      </c>
      <c r="B41" s="15" t="s">
        <v>78</v>
      </c>
      <c r="C41" s="3">
        <v>0</v>
      </c>
      <c r="D41" s="3">
        <v>1E-3</v>
      </c>
    </row>
    <row r="42" spans="1:4">
      <c r="A42" s="3" t="s">
        <v>140</v>
      </c>
      <c r="B42" s="15" t="s">
        <v>78</v>
      </c>
      <c r="C42" s="3">
        <v>2E-3</v>
      </c>
      <c r="D42" s="3">
        <v>0.01</v>
      </c>
    </row>
    <row r="43" spans="1:4">
      <c r="A43" s="3" t="s">
        <v>141</v>
      </c>
      <c r="B43" s="15" t="s">
        <v>78</v>
      </c>
      <c r="C43" s="3">
        <v>0</v>
      </c>
      <c r="D43" s="3">
        <v>1E-3</v>
      </c>
    </row>
    <row r="44" spans="1:4">
      <c r="A44" s="3" t="s">
        <v>142</v>
      </c>
      <c r="B44" s="15" t="s">
        <v>78</v>
      </c>
      <c r="C44" s="3">
        <v>0</v>
      </c>
      <c r="D44" s="3">
        <v>1E-3</v>
      </c>
    </row>
    <row r="45" spans="1:4">
      <c r="A45" s="3" t="s">
        <v>143</v>
      </c>
      <c r="B45" s="15" t="s">
        <v>78</v>
      </c>
      <c r="C45" s="3">
        <v>0</v>
      </c>
      <c r="D45" s="3">
        <v>1E-3</v>
      </c>
    </row>
    <row r="46" spans="1:4">
      <c r="A46" s="3" t="s">
        <v>133</v>
      </c>
      <c r="B46" s="15" t="s">
        <v>60</v>
      </c>
      <c r="C46" s="3">
        <v>0</v>
      </c>
      <c r="D46" s="3">
        <v>1E-3</v>
      </c>
    </row>
    <row r="47" spans="1:4">
      <c r="A47" s="3" t="s">
        <v>134</v>
      </c>
      <c r="B47" s="15" t="s">
        <v>60</v>
      </c>
      <c r="C47" s="3">
        <v>97.8</v>
      </c>
      <c r="D47" s="3">
        <v>3</v>
      </c>
    </row>
    <row r="48" spans="1:4">
      <c r="A48" s="3" t="s">
        <v>135</v>
      </c>
      <c r="B48" s="15" t="s">
        <v>60</v>
      </c>
      <c r="C48" s="3">
        <v>1</v>
      </c>
      <c r="D48" s="3">
        <v>1</v>
      </c>
    </row>
    <row r="49" spans="1:4">
      <c r="A49" s="3" t="s">
        <v>136</v>
      </c>
      <c r="B49" s="15" t="s">
        <v>60</v>
      </c>
      <c r="C49" s="3">
        <v>0</v>
      </c>
      <c r="D49" s="3">
        <v>1E-3</v>
      </c>
    </row>
    <row r="50" spans="1:4">
      <c r="A50" s="3" t="s">
        <v>137</v>
      </c>
      <c r="B50" s="15" t="s">
        <v>60</v>
      </c>
      <c r="C50" s="3">
        <v>0.25</v>
      </c>
      <c r="D50" s="3">
        <v>0.5</v>
      </c>
    </row>
    <row r="51" spans="1:4">
      <c r="A51" s="3" t="s">
        <v>138</v>
      </c>
      <c r="B51" s="15" t="s">
        <v>60</v>
      </c>
      <c r="C51" s="3">
        <v>0.75</v>
      </c>
      <c r="D51" s="3">
        <v>1</v>
      </c>
    </row>
    <row r="52" spans="1:4">
      <c r="A52" s="3" t="s">
        <v>139</v>
      </c>
      <c r="B52" s="15" t="s">
        <v>60</v>
      </c>
      <c r="C52" s="3">
        <v>0</v>
      </c>
      <c r="D52" s="3">
        <v>1E-3</v>
      </c>
    </row>
    <row r="53" spans="1:4">
      <c r="A53" s="3" t="s">
        <v>140</v>
      </c>
      <c r="B53" s="15" t="s">
        <v>60</v>
      </c>
      <c r="C53" s="3">
        <v>3.0000000000000001E-3</v>
      </c>
      <c r="D53" s="3">
        <v>0.01</v>
      </c>
    </row>
    <row r="54" spans="1:4">
      <c r="A54" s="3" t="s">
        <v>141</v>
      </c>
      <c r="B54" s="15" t="s">
        <v>60</v>
      </c>
      <c r="C54" s="3">
        <v>0</v>
      </c>
      <c r="D54" s="3">
        <v>1E-3</v>
      </c>
    </row>
    <row r="55" spans="1:4">
      <c r="A55" s="3" t="s">
        <v>142</v>
      </c>
      <c r="B55" s="15" t="s">
        <v>60</v>
      </c>
      <c r="C55" s="3">
        <v>0</v>
      </c>
      <c r="D55" s="3">
        <v>1E-3</v>
      </c>
    </row>
    <row r="56" spans="1:4">
      <c r="A56" s="3" t="s">
        <v>143</v>
      </c>
      <c r="B56" s="15" t="s">
        <v>60</v>
      </c>
      <c r="C56" s="3">
        <v>0</v>
      </c>
      <c r="D56" s="3">
        <v>1E-3</v>
      </c>
    </row>
    <row r="57" spans="1:4">
      <c r="A57" s="3" t="s">
        <v>133</v>
      </c>
      <c r="B57" s="15" t="s">
        <v>39</v>
      </c>
      <c r="C57" s="3">
        <v>0</v>
      </c>
      <c r="D57" s="3">
        <v>1E-3</v>
      </c>
    </row>
    <row r="58" spans="1:4">
      <c r="A58" s="3" t="s">
        <v>134</v>
      </c>
      <c r="B58" s="15" t="s">
        <v>39</v>
      </c>
      <c r="C58" s="3">
        <v>97.5</v>
      </c>
      <c r="D58" s="3">
        <v>3</v>
      </c>
    </row>
    <row r="59" spans="1:4">
      <c r="A59" s="3" t="s">
        <v>135</v>
      </c>
      <c r="B59" s="15" t="s">
        <v>39</v>
      </c>
      <c r="C59" s="3">
        <v>1.05</v>
      </c>
      <c r="D59" s="3">
        <v>0.5</v>
      </c>
    </row>
    <row r="60" spans="1:4">
      <c r="A60" s="3" t="s">
        <v>136</v>
      </c>
      <c r="B60" s="15" t="s">
        <v>39</v>
      </c>
      <c r="C60" s="3">
        <v>0</v>
      </c>
      <c r="D60" s="3">
        <v>1E-3</v>
      </c>
    </row>
    <row r="61" spans="1:4">
      <c r="A61" s="3" t="s">
        <v>137</v>
      </c>
      <c r="B61" s="15" t="s">
        <v>39</v>
      </c>
      <c r="C61" s="3">
        <v>0.35</v>
      </c>
      <c r="D61" s="3">
        <v>0.5</v>
      </c>
    </row>
    <row r="62" spans="1:4">
      <c r="A62" s="3" t="s">
        <v>138</v>
      </c>
      <c r="B62" s="15" t="s">
        <v>39</v>
      </c>
      <c r="C62" s="3">
        <v>1</v>
      </c>
      <c r="D62" s="3">
        <v>0.5</v>
      </c>
    </row>
    <row r="63" spans="1:4">
      <c r="A63" s="3" t="s">
        <v>139</v>
      </c>
      <c r="B63" s="15" t="s">
        <v>39</v>
      </c>
      <c r="C63" s="3">
        <v>0</v>
      </c>
      <c r="D63" s="3">
        <v>1E-3</v>
      </c>
    </row>
    <row r="64" spans="1:4">
      <c r="A64" s="3" t="s">
        <v>140</v>
      </c>
      <c r="B64" s="15" t="s">
        <v>39</v>
      </c>
      <c r="C64" s="3">
        <v>2E-3</v>
      </c>
      <c r="D64" s="3">
        <v>0.01</v>
      </c>
    </row>
    <row r="65" spans="1:4">
      <c r="A65" s="3" t="s">
        <v>141</v>
      </c>
      <c r="B65" s="15" t="s">
        <v>39</v>
      </c>
      <c r="C65" s="3">
        <v>0</v>
      </c>
      <c r="D65" s="3">
        <v>1E-3</v>
      </c>
    </row>
    <row r="66" spans="1:4">
      <c r="A66" s="3" t="s">
        <v>142</v>
      </c>
      <c r="B66" s="15" t="s">
        <v>39</v>
      </c>
      <c r="C66" s="3">
        <v>0</v>
      </c>
      <c r="D66" s="3">
        <v>1E-3</v>
      </c>
    </row>
    <row r="67" spans="1:4">
      <c r="A67" s="3" t="s">
        <v>143</v>
      </c>
      <c r="B67" s="15" t="s">
        <v>39</v>
      </c>
      <c r="C67" s="3">
        <v>0</v>
      </c>
      <c r="D67" s="3">
        <v>1E-3</v>
      </c>
    </row>
    <row r="68" spans="1:4">
      <c r="A68" s="3" t="s">
        <v>133</v>
      </c>
      <c r="B68" s="15" t="s">
        <v>89</v>
      </c>
      <c r="C68" s="3">
        <v>0</v>
      </c>
      <c r="D68" s="3">
        <v>1E-3</v>
      </c>
    </row>
    <row r="69" spans="1:4">
      <c r="A69" s="3" t="s">
        <v>134</v>
      </c>
      <c r="B69" s="15" t="s">
        <v>89</v>
      </c>
      <c r="C69" s="3">
        <v>97.5</v>
      </c>
      <c r="D69" s="3">
        <v>3</v>
      </c>
    </row>
    <row r="70" spans="1:4">
      <c r="A70" s="3" t="s">
        <v>135</v>
      </c>
      <c r="B70" s="15" t="s">
        <v>89</v>
      </c>
      <c r="C70" s="3">
        <v>1.05</v>
      </c>
      <c r="D70" s="3">
        <v>0.5</v>
      </c>
    </row>
    <row r="71" spans="1:4">
      <c r="A71" s="3" t="s">
        <v>136</v>
      </c>
      <c r="B71" s="15" t="s">
        <v>89</v>
      </c>
      <c r="C71" s="3">
        <v>0</v>
      </c>
      <c r="D71" s="3">
        <v>1E-3</v>
      </c>
    </row>
    <row r="72" spans="1:4">
      <c r="A72" s="3" t="s">
        <v>137</v>
      </c>
      <c r="B72" s="15" t="s">
        <v>89</v>
      </c>
      <c r="C72" s="3">
        <v>0.35</v>
      </c>
      <c r="D72" s="3">
        <v>0.5</v>
      </c>
    </row>
    <row r="73" spans="1:4">
      <c r="A73" s="3" t="s">
        <v>138</v>
      </c>
      <c r="B73" s="15" t="s">
        <v>89</v>
      </c>
      <c r="C73" s="3">
        <v>1</v>
      </c>
      <c r="D73" s="3">
        <v>0.5</v>
      </c>
    </row>
    <row r="74" spans="1:4">
      <c r="A74" s="3" t="s">
        <v>139</v>
      </c>
      <c r="B74" s="15" t="s">
        <v>89</v>
      </c>
      <c r="C74" s="3">
        <v>0</v>
      </c>
      <c r="D74" s="3">
        <v>1E-3</v>
      </c>
    </row>
    <row r="75" spans="1:4">
      <c r="A75" s="3" t="s">
        <v>140</v>
      </c>
      <c r="B75" s="15" t="s">
        <v>89</v>
      </c>
      <c r="C75" s="3">
        <v>2E-3</v>
      </c>
      <c r="D75" s="3">
        <v>0.01</v>
      </c>
    </row>
    <row r="76" spans="1:4">
      <c r="A76" s="3" t="s">
        <v>141</v>
      </c>
      <c r="B76" s="15" t="s">
        <v>89</v>
      </c>
      <c r="C76" s="3">
        <v>0</v>
      </c>
      <c r="D76" s="3">
        <v>1E-3</v>
      </c>
    </row>
    <row r="77" spans="1:4">
      <c r="A77" s="3" t="s">
        <v>142</v>
      </c>
      <c r="B77" s="15" t="s">
        <v>89</v>
      </c>
      <c r="C77" s="3">
        <v>0</v>
      </c>
      <c r="D77" s="3">
        <v>1E-3</v>
      </c>
    </row>
    <row r="78" spans="1:4">
      <c r="A78" s="3" t="s">
        <v>143</v>
      </c>
      <c r="B78" s="15" t="s">
        <v>89</v>
      </c>
      <c r="C78" s="3">
        <v>0</v>
      </c>
      <c r="D78" s="3">
        <v>1E-3</v>
      </c>
    </row>
    <row r="79" spans="1:4">
      <c r="A79" s="3" t="s">
        <v>133</v>
      </c>
      <c r="B79" s="15" t="s">
        <v>63</v>
      </c>
      <c r="C79" s="3">
        <v>0</v>
      </c>
      <c r="D79" s="3">
        <v>1E-3</v>
      </c>
    </row>
    <row r="80" spans="1:4">
      <c r="A80" s="3" t="s">
        <v>134</v>
      </c>
      <c r="B80" s="15" t="s">
        <v>63</v>
      </c>
      <c r="C80" s="3">
        <v>95</v>
      </c>
      <c r="D80" s="3">
        <v>4</v>
      </c>
    </row>
    <row r="81" spans="1:4">
      <c r="A81" s="3" t="s">
        <v>135</v>
      </c>
      <c r="B81" s="15" t="s">
        <v>63</v>
      </c>
      <c r="C81" s="3">
        <v>2.5</v>
      </c>
      <c r="D81" s="3">
        <v>1</v>
      </c>
    </row>
    <row r="82" spans="1:4">
      <c r="A82" s="3" t="s">
        <v>136</v>
      </c>
      <c r="B82" s="15" t="s">
        <v>63</v>
      </c>
      <c r="C82" s="3">
        <v>0</v>
      </c>
      <c r="D82" s="3">
        <v>1E-3</v>
      </c>
    </row>
    <row r="83" spans="1:4">
      <c r="A83" s="3" t="s">
        <v>137</v>
      </c>
      <c r="B83" s="15" t="s">
        <v>63</v>
      </c>
      <c r="C83" s="3">
        <v>0.7</v>
      </c>
      <c r="D83" s="3">
        <v>0.5</v>
      </c>
    </row>
    <row r="84" spans="1:4">
      <c r="A84" s="3" t="s">
        <v>138</v>
      </c>
      <c r="B84" s="15" t="s">
        <v>63</v>
      </c>
      <c r="C84" s="3">
        <v>2.6</v>
      </c>
      <c r="D84" s="3">
        <v>1</v>
      </c>
    </row>
    <row r="85" spans="1:4">
      <c r="A85" s="3" t="s">
        <v>139</v>
      </c>
      <c r="B85" s="15" t="s">
        <v>63</v>
      </c>
      <c r="C85" s="3">
        <v>0</v>
      </c>
      <c r="D85" s="3">
        <v>1E-3</v>
      </c>
    </row>
    <row r="86" spans="1:4">
      <c r="A86" s="3" t="s">
        <v>140</v>
      </c>
      <c r="B86" s="15" t="s">
        <v>63</v>
      </c>
      <c r="C86" s="3">
        <v>1E-3</v>
      </c>
      <c r="D86" s="3">
        <v>0.01</v>
      </c>
    </row>
    <row r="87" spans="1:4">
      <c r="A87" s="3" t="s">
        <v>141</v>
      </c>
      <c r="B87" s="15" t="s">
        <v>63</v>
      </c>
      <c r="C87" s="3">
        <v>0</v>
      </c>
      <c r="D87" s="3">
        <v>1E-3</v>
      </c>
    </row>
    <row r="88" spans="1:4">
      <c r="A88" s="3" t="s">
        <v>142</v>
      </c>
      <c r="B88" s="15" t="s">
        <v>63</v>
      </c>
      <c r="C88" s="3">
        <v>0</v>
      </c>
      <c r="D88" s="3">
        <v>1E-3</v>
      </c>
    </row>
    <row r="89" spans="1:4">
      <c r="A89" s="3" t="s">
        <v>143</v>
      </c>
      <c r="B89" s="15" t="s">
        <v>63</v>
      </c>
      <c r="C89" s="3">
        <v>0</v>
      </c>
      <c r="D89" s="3">
        <v>1E-3</v>
      </c>
    </row>
    <row r="90" spans="1:4">
      <c r="A90" s="3" t="s">
        <v>133</v>
      </c>
      <c r="B90" s="15" t="s">
        <v>58</v>
      </c>
      <c r="C90" s="3">
        <v>0</v>
      </c>
      <c r="D90" s="3">
        <v>5.0000000000000001E-3</v>
      </c>
    </row>
    <row r="91" spans="1:4">
      <c r="A91" s="3" t="s">
        <v>134</v>
      </c>
      <c r="B91" s="15" t="s">
        <v>58</v>
      </c>
      <c r="C91" s="3">
        <v>99.9</v>
      </c>
      <c r="D91" s="3">
        <v>1</v>
      </c>
    </row>
    <row r="92" spans="1:4">
      <c r="A92" s="3" t="s">
        <v>135</v>
      </c>
      <c r="B92" s="15" t="s">
        <v>58</v>
      </c>
      <c r="C92" s="3">
        <v>0.03</v>
      </c>
      <c r="D92" s="3">
        <v>0.1</v>
      </c>
    </row>
    <row r="93" spans="1:4">
      <c r="A93" s="3" t="s">
        <v>136</v>
      </c>
      <c r="B93" s="15" t="s">
        <v>58</v>
      </c>
      <c r="C93" s="3">
        <v>0</v>
      </c>
      <c r="D93" s="3">
        <v>5.0000000000000001E-3</v>
      </c>
    </row>
    <row r="94" spans="1:4">
      <c r="A94" s="3" t="s">
        <v>137</v>
      </c>
      <c r="B94" s="15" t="s">
        <v>58</v>
      </c>
      <c r="C94" s="3">
        <v>0</v>
      </c>
      <c r="D94" s="3">
        <v>0.01</v>
      </c>
    </row>
    <row r="95" spans="1:4">
      <c r="A95" s="3" t="s">
        <v>138</v>
      </c>
      <c r="B95" s="15" t="s">
        <v>58</v>
      </c>
      <c r="C95" s="3">
        <v>0</v>
      </c>
      <c r="D95" s="3">
        <v>0.01</v>
      </c>
    </row>
    <row r="96" spans="1:4">
      <c r="A96" s="3" t="s">
        <v>139</v>
      </c>
      <c r="B96" s="15" t="s">
        <v>58</v>
      </c>
      <c r="C96" s="3">
        <v>0</v>
      </c>
      <c r="D96" s="3">
        <v>5.0000000000000001E-3</v>
      </c>
    </row>
    <row r="97" spans="1:4">
      <c r="A97" s="3" t="s">
        <v>140</v>
      </c>
      <c r="B97" s="15" t="s">
        <v>58</v>
      </c>
      <c r="C97" s="3">
        <v>0</v>
      </c>
      <c r="D97" s="3">
        <v>5.0000000000000001E-3</v>
      </c>
    </row>
    <row r="98" spans="1:4">
      <c r="A98" s="3" t="s">
        <v>141</v>
      </c>
      <c r="B98" s="15" t="s">
        <v>58</v>
      </c>
      <c r="C98" s="3">
        <v>0</v>
      </c>
      <c r="D98" s="3">
        <v>5.0000000000000001E-3</v>
      </c>
    </row>
    <row r="99" spans="1:4">
      <c r="A99" s="3" t="s">
        <v>142</v>
      </c>
      <c r="B99" s="15" t="s">
        <v>58</v>
      </c>
      <c r="C99" s="3">
        <v>0</v>
      </c>
      <c r="D99" s="3">
        <v>5.0000000000000001E-3</v>
      </c>
    </row>
    <row r="100" spans="1:4">
      <c r="A100" s="3" t="s">
        <v>143</v>
      </c>
      <c r="B100" s="15" t="s">
        <v>58</v>
      </c>
      <c r="C100" s="3">
        <v>0</v>
      </c>
      <c r="D100" s="3">
        <v>5.0000000000000001E-3</v>
      </c>
    </row>
    <row r="101" spans="1:4">
      <c r="A101" s="3" t="s">
        <v>133</v>
      </c>
      <c r="B101" s="15" t="s">
        <v>57</v>
      </c>
      <c r="C101" s="3">
        <v>0</v>
      </c>
      <c r="D101" s="3">
        <v>0.5</v>
      </c>
    </row>
    <row r="102" spans="1:4">
      <c r="A102" s="3" t="s">
        <v>134</v>
      </c>
      <c r="B102" s="15" t="s">
        <v>57</v>
      </c>
      <c r="C102" s="3">
        <v>99.5</v>
      </c>
      <c r="D102" s="3">
        <v>2</v>
      </c>
    </row>
    <row r="103" spans="1:4">
      <c r="A103" s="3" t="s">
        <v>135</v>
      </c>
      <c r="B103" s="15" t="s">
        <v>57</v>
      </c>
      <c r="C103" s="3">
        <v>0.5</v>
      </c>
      <c r="D103" s="3">
        <v>1</v>
      </c>
    </row>
    <row r="104" spans="1:4">
      <c r="A104" s="3" t="s">
        <v>136</v>
      </c>
      <c r="B104" s="15" t="s">
        <v>57</v>
      </c>
      <c r="C104" s="3">
        <v>0</v>
      </c>
      <c r="D104" s="3">
        <v>0.1</v>
      </c>
    </row>
    <row r="105" spans="1:4">
      <c r="A105" s="3" t="s">
        <v>137</v>
      </c>
      <c r="B105" s="15" t="s">
        <v>57</v>
      </c>
      <c r="C105" s="3">
        <v>0</v>
      </c>
      <c r="D105" s="3">
        <v>0.5</v>
      </c>
    </row>
    <row r="106" spans="1:4">
      <c r="A106" s="3" t="s">
        <v>138</v>
      </c>
      <c r="B106" s="15" t="s">
        <v>57</v>
      </c>
      <c r="C106" s="3">
        <v>0</v>
      </c>
      <c r="D106" s="3">
        <v>0.5</v>
      </c>
    </row>
    <row r="107" spans="1:4">
      <c r="A107" s="3" t="s">
        <v>139</v>
      </c>
      <c r="B107" s="15" t="s">
        <v>57</v>
      </c>
      <c r="C107" s="3">
        <v>0</v>
      </c>
      <c r="D107" s="3">
        <v>0.1</v>
      </c>
    </row>
    <row r="108" spans="1:4">
      <c r="A108" s="3" t="s">
        <v>140</v>
      </c>
      <c r="B108" s="15" t="s">
        <v>57</v>
      </c>
      <c r="C108" s="3">
        <v>0</v>
      </c>
      <c r="D108" s="3">
        <v>0.1</v>
      </c>
    </row>
    <row r="109" spans="1:4">
      <c r="A109" s="3" t="s">
        <v>141</v>
      </c>
      <c r="B109" s="15" t="s">
        <v>57</v>
      </c>
      <c r="C109" s="3">
        <v>0</v>
      </c>
      <c r="D109" s="3">
        <v>0.1</v>
      </c>
    </row>
    <row r="110" spans="1:4">
      <c r="A110" s="3" t="s">
        <v>142</v>
      </c>
      <c r="B110" s="15" t="s">
        <v>57</v>
      </c>
      <c r="C110" s="3">
        <v>0</v>
      </c>
      <c r="D110" s="3">
        <v>0.1</v>
      </c>
    </row>
    <row r="111" spans="1:4">
      <c r="A111" s="3" t="s">
        <v>143</v>
      </c>
      <c r="B111" s="15" t="s">
        <v>57</v>
      </c>
      <c r="C111" s="3">
        <v>0</v>
      </c>
      <c r="D111" s="3">
        <v>0.1</v>
      </c>
    </row>
    <row r="112" spans="1:4">
      <c r="A112" s="3" t="s">
        <v>133</v>
      </c>
      <c r="B112" s="15" t="s">
        <v>50</v>
      </c>
      <c r="C112" s="3">
        <v>0</v>
      </c>
      <c r="D112" s="3">
        <v>1E-3</v>
      </c>
    </row>
    <row r="113" spans="1:4">
      <c r="A113" s="3" t="s">
        <v>134</v>
      </c>
      <c r="B113" s="15" t="s">
        <v>50</v>
      </c>
      <c r="C113" s="3">
        <v>93.25</v>
      </c>
      <c r="D113" s="3">
        <v>4</v>
      </c>
    </row>
    <row r="114" spans="1:4">
      <c r="A114" s="3" t="s">
        <v>135</v>
      </c>
      <c r="B114" s="15" t="s">
        <v>50</v>
      </c>
      <c r="C114" s="3">
        <v>2.7</v>
      </c>
      <c r="D114" s="3">
        <v>1</v>
      </c>
    </row>
    <row r="115" spans="1:4">
      <c r="A115" s="3" t="s">
        <v>136</v>
      </c>
      <c r="B115" s="15" t="s">
        <v>50</v>
      </c>
      <c r="C115" s="3">
        <v>0</v>
      </c>
      <c r="D115" s="3">
        <v>1E-3</v>
      </c>
    </row>
    <row r="116" spans="1:4">
      <c r="A116" s="3" t="s">
        <v>137</v>
      </c>
      <c r="B116" s="15" t="s">
        <v>50</v>
      </c>
      <c r="C116" s="3">
        <v>0.79</v>
      </c>
      <c r="D116" s="3">
        <v>0.5</v>
      </c>
    </row>
    <row r="117" spans="1:4">
      <c r="A117" s="3" t="s">
        <v>138</v>
      </c>
      <c r="B117" s="15" t="s">
        <v>50</v>
      </c>
      <c r="C117" s="3">
        <v>3.25</v>
      </c>
      <c r="D117" s="3">
        <v>1</v>
      </c>
    </row>
    <row r="118" spans="1:4">
      <c r="A118" s="3" t="s">
        <v>139</v>
      </c>
      <c r="B118" s="15" t="s">
        <v>50</v>
      </c>
      <c r="C118" s="3">
        <v>0</v>
      </c>
      <c r="D118" s="3">
        <v>1E-3</v>
      </c>
    </row>
    <row r="119" spans="1:4">
      <c r="A119" s="3" t="s">
        <v>140</v>
      </c>
      <c r="B119" s="15" t="s">
        <v>50</v>
      </c>
      <c r="C119" s="3">
        <v>5.0000000000000001E-3</v>
      </c>
      <c r="D119" s="3">
        <v>0.01</v>
      </c>
    </row>
    <row r="120" spans="1:4">
      <c r="A120" s="3" t="s">
        <v>141</v>
      </c>
      <c r="B120" s="15" t="s">
        <v>50</v>
      </c>
      <c r="C120" s="3">
        <v>0</v>
      </c>
      <c r="D120" s="3">
        <v>1E-3</v>
      </c>
    </row>
    <row r="121" spans="1:4">
      <c r="A121" s="3" t="s">
        <v>142</v>
      </c>
      <c r="B121" s="15" t="s">
        <v>50</v>
      </c>
      <c r="C121" s="3">
        <v>0</v>
      </c>
      <c r="D121" s="3">
        <v>1E-3</v>
      </c>
    </row>
    <row r="122" spans="1:4">
      <c r="A122" s="3" t="s">
        <v>143</v>
      </c>
      <c r="B122" s="15" t="s">
        <v>50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23</v>
      </c>
      <c r="B1" s="1" t="s">
        <v>25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 spans="1:16">
      <c r="A2" s="15" t="str">
        <f>_xlfn.CONCAT("RMS_EDM_",Metadata!$B$1,"_Quarterly_CBAP")</f>
        <v>RMS_EDM__Quarterly_CBAP</v>
      </c>
      <c r="B2" s="15" t="s">
        <v>28</v>
      </c>
      <c r="C2" s="15" t="s">
        <v>158</v>
      </c>
      <c r="D2" s="15" t="s">
        <v>159</v>
      </c>
      <c r="E2" s="3" t="s">
        <v>160</v>
      </c>
      <c r="F2" s="15" t="s">
        <v>161</v>
      </c>
      <c r="G2" s="3" t="s">
        <v>122</v>
      </c>
      <c r="H2" s="3" t="s">
        <v>127</v>
      </c>
      <c r="L2" s="3" t="str">
        <f>_xlfn.CONCAT(Metadata!$B$1,"_Quarterly_CBHU_LT")</f>
        <v>_Quarterly_CBHU_LT</v>
      </c>
    </row>
    <row r="3" spans="1:16">
      <c r="A3" s="15" t="str">
        <f>_xlfn.CONCAT("RMS_EDM_",Metadata!$B$1,"_Quarterly_CBAP")</f>
        <v>RMS_EDM__Quarterly_CBAP</v>
      </c>
      <c r="B3" s="15" t="s">
        <v>28</v>
      </c>
      <c r="C3" s="15" t="s">
        <v>162</v>
      </c>
      <c r="D3" s="15" t="s">
        <v>159</v>
      </c>
      <c r="E3" s="3" t="s">
        <v>160</v>
      </c>
      <c r="F3" s="15" t="s">
        <v>163</v>
      </c>
      <c r="G3" s="3" t="s">
        <v>122</v>
      </c>
      <c r="H3" s="3" t="s">
        <v>127</v>
      </c>
      <c r="L3" s="3" t="str">
        <f>_xlfn.CONCAT(Metadata!$B$1,"_Quarterly_CBHU_NT")</f>
        <v>_Quarterly_CBHU_NT</v>
      </c>
    </row>
    <row r="4" spans="1:16">
      <c r="A4" s="15" t="str">
        <f>_xlfn.CONCAT("RMS_EDM_",Metadata!$B$1,"_Quarterly_CBAP")</f>
        <v>RMS_EDM__Quarterly_CBAP</v>
      </c>
      <c r="B4" s="15" t="s">
        <v>29</v>
      </c>
      <c r="C4" s="15" t="s">
        <v>29</v>
      </c>
      <c r="D4" s="15" t="s">
        <v>164</v>
      </c>
      <c r="E4" s="3" t="s">
        <v>160</v>
      </c>
      <c r="F4" s="15" t="s">
        <v>165</v>
      </c>
      <c r="G4" s="3" t="s">
        <v>122</v>
      </c>
      <c r="H4" s="3" t="s">
        <v>127</v>
      </c>
      <c r="L4" s="3" t="str">
        <f>_xlfn.CONCAT(Metadata!$B$1,"_Quarterly_CBEQ")</f>
        <v>_Quarterly_CBEQ</v>
      </c>
    </row>
    <row r="5" spans="1:16">
      <c r="A5" s="15" t="str">
        <f>_xlfn.CONCAT("RMS_EDM_",Metadata!$B$1,"_Quarterly_USEQ")</f>
        <v>RMS_EDM__Quarterly_USEQ</v>
      </c>
      <c r="B5" s="15" t="s">
        <v>30</v>
      </c>
      <c r="C5" s="15" t="s">
        <v>30</v>
      </c>
      <c r="D5" s="15" t="s">
        <v>166</v>
      </c>
      <c r="E5" s="3" t="s">
        <v>160</v>
      </c>
      <c r="F5" s="15" t="s">
        <v>167</v>
      </c>
      <c r="L5" s="3" t="str">
        <f>_xlfn.CONCAT(Metadata!$B$1,"_Quarterly_USEQ")</f>
        <v>_Quarterly_USEQ</v>
      </c>
    </row>
    <row r="6" spans="1:16">
      <c r="A6" s="15" t="str">
        <f>_xlfn.CONCAT("RMS_EDM_",Metadata!$B$1,"_Quarterly_USEQ")</f>
        <v>RMS_EDM__Quarterly_USEQ</v>
      </c>
      <c r="B6" s="15" t="s">
        <v>33</v>
      </c>
      <c r="C6" s="15" t="s">
        <v>33</v>
      </c>
      <c r="D6" s="15" t="s">
        <v>166</v>
      </c>
      <c r="E6" s="3" t="s">
        <v>160</v>
      </c>
      <c r="F6" s="15" t="s">
        <v>167</v>
      </c>
      <c r="L6" s="3" t="str">
        <f>_xlfn.CONCAT(Metadata!$B$1,"_Quarterly_USEQ")</f>
        <v>_Quarterly_USEQ</v>
      </c>
    </row>
    <row r="7" spans="1:16">
      <c r="A7" s="15" t="str">
        <f>_xlfn.CONCAT("RMS_EDM_",Metadata!$B$1,"_Quarterly_USEQ")</f>
        <v>RMS_EDM__Quarterly_USEQ</v>
      </c>
      <c r="B7" s="15" t="s">
        <v>34</v>
      </c>
      <c r="C7" s="15" t="s">
        <v>34</v>
      </c>
      <c r="D7" s="15" t="s">
        <v>166</v>
      </c>
      <c r="E7" s="3" t="s">
        <v>160</v>
      </c>
      <c r="F7" s="15" t="s">
        <v>167</v>
      </c>
      <c r="G7" s="3" t="s">
        <v>122</v>
      </c>
      <c r="H7" s="3" t="s">
        <v>127</v>
      </c>
      <c r="L7" s="3" t="str">
        <f>_xlfn.CONCAT(Metadata!$B$1,"_Quarterly_USEQ")</f>
        <v>_Quarterly_USEQ</v>
      </c>
    </row>
    <row r="8" spans="1:16">
      <c r="A8" s="15" t="str">
        <f>_xlfn.CONCAT("RMS_EDM_",Metadata!$B$1,"_Quarterly_USEQ")</f>
        <v>RMS_EDM__Quarterly_USEQ</v>
      </c>
      <c r="B8" s="15" t="s">
        <v>35</v>
      </c>
      <c r="C8" s="15" t="s">
        <v>35</v>
      </c>
      <c r="D8" s="15" t="s">
        <v>166</v>
      </c>
      <c r="E8" s="3" t="s">
        <v>160</v>
      </c>
      <c r="F8" s="15" t="s">
        <v>167</v>
      </c>
      <c r="G8" s="3" t="s">
        <v>122</v>
      </c>
      <c r="H8" s="3" t="s">
        <v>127</v>
      </c>
      <c r="L8" s="3" t="str">
        <f>_xlfn.CONCAT(Metadata!$B$1,"_Quarterly_USEQ")</f>
        <v>_Quarterly_USEQ</v>
      </c>
    </row>
    <row r="9" spans="1:16">
      <c r="A9" s="15" t="str">
        <f>_xlfn.CONCAT("RMS_EDM_",Metadata!$B$1,"_Quarterly_USEQ")</f>
        <v>RMS_EDM__Quarterly_USEQ</v>
      </c>
      <c r="B9" s="15" t="s">
        <v>36</v>
      </c>
      <c r="C9" s="15" t="s">
        <v>36</v>
      </c>
      <c r="D9" s="15" t="s">
        <v>166</v>
      </c>
      <c r="E9" s="3" t="s">
        <v>160</v>
      </c>
      <c r="F9" s="15" t="s">
        <v>167</v>
      </c>
      <c r="G9" s="3" t="s">
        <v>122</v>
      </c>
      <c r="H9" s="3" t="s">
        <v>127</v>
      </c>
      <c r="L9" s="3" t="str">
        <f>_xlfn.CONCAT(Metadata!$B$1,"_Quarterly_USEQ")</f>
        <v>_Quarterly_USEQ</v>
      </c>
    </row>
    <row r="10" spans="1:16">
      <c r="A10" s="15" t="str">
        <f>_xlfn.CONCAT("RMS_EDM_",Metadata!$B$1,"_Quarterly_USEQ")</f>
        <v>RMS_EDM__Quarterly_USEQ</v>
      </c>
      <c r="B10" s="15" t="s">
        <v>37</v>
      </c>
      <c r="C10" s="15" t="s">
        <v>37</v>
      </c>
      <c r="D10" s="15" t="s">
        <v>166</v>
      </c>
      <c r="E10" s="3" t="s">
        <v>160</v>
      </c>
      <c r="F10" s="15" t="s">
        <v>167</v>
      </c>
      <c r="G10" s="3" t="s">
        <v>122</v>
      </c>
      <c r="H10" s="3" t="s">
        <v>127</v>
      </c>
      <c r="L10" s="3" t="str">
        <f>_xlfn.CONCAT(Metadata!$B$1,"_Quarterly_USEQ")</f>
        <v>_Quarterly_USEQ</v>
      </c>
    </row>
    <row r="11" spans="1:16">
      <c r="A11" s="15" t="str">
        <f>_xlfn.CONCAT("RMS_EDM_",Metadata!$B$1,"_Quarterly_USFF")</f>
        <v>RMS_EDM__Quarterly_USFF</v>
      </c>
      <c r="B11" s="15" t="s">
        <v>38</v>
      </c>
      <c r="C11" s="15" t="s">
        <v>38</v>
      </c>
      <c r="D11" s="15" t="s">
        <v>168</v>
      </c>
      <c r="E11" s="3" t="s">
        <v>160</v>
      </c>
      <c r="F11" s="15" t="s">
        <v>167</v>
      </c>
      <c r="G11" s="3" t="s">
        <v>128</v>
      </c>
      <c r="L11" s="3" t="str">
        <f>_xlfn.CONCAT(Metadata!$B$1,"_Quarterly_USFF")</f>
        <v>_Quarterly_USFF</v>
      </c>
    </row>
    <row r="12" spans="1:16">
      <c r="A12" s="15" t="str">
        <f>_xlfn.CONCAT("RMS_EDM_",Metadata!$B$1,"_Quarterly_USFF")</f>
        <v>RMS_EDM__Quarterly_USFF</v>
      </c>
      <c r="B12" s="15" t="s">
        <v>40</v>
      </c>
      <c r="C12" s="15" t="s">
        <v>40</v>
      </c>
      <c r="D12" s="15" t="s">
        <v>168</v>
      </c>
      <c r="E12" s="3" t="s">
        <v>160</v>
      </c>
      <c r="F12" s="15" t="s">
        <v>167</v>
      </c>
      <c r="G12" s="3" t="s">
        <v>122</v>
      </c>
      <c r="H12" s="3" t="s">
        <v>127</v>
      </c>
      <c r="L12" s="3" t="str">
        <f>_xlfn.CONCAT(Metadata!$B$1,"_Quarterly_USFF")</f>
        <v>_Quarterly_USFF</v>
      </c>
    </row>
    <row r="13" spans="1:16">
      <c r="A13" s="15" t="str">
        <f>_xlfn.CONCAT("RMS_EDM_",Metadata!$B$1,"_Quarterly_USFF")</f>
        <v>RMS_EDM__Quarterly_USFF</v>
      </c>
      <c r="B13" s="15" t="s">
        <v>41</v>
      </c>
      <c r="C13" s="15" t="s">
        <v>41</v>
      </c>
      <c r="D13" s="15" t="s">
        <v>168</v>
      </c>
      <c r="E13" s="3" t="s">
        <v>160</v>
      </c>
      <c r="F13" s="15" t="s">
        <v>167</v>
      </c>
      <c r="L13" s="3" t="str">
        <f>_xlfn.CONCAT(Metadata!$B$1,"_Quarterly_USFF")</f>
        <v>_Quarterly_USFF</v>
      </c>
    </row>
    <row r="14" spans="1:16">
      <c r="A14" s="15" t="str">
        <f>_xlfn.CONCAT("RMS_EDM_",Metadata!$B$1,"_Quarterly_USFF")</f>
        <v>RMS_EDM__Quarterly_USFF</v>
      </c>
      <c r="B14" s="15" t="s">
        <v>42</v>
      </c>
      <c r="C14" s="15" t="s">
        <v>42</v>
      </c>
      <c r="D14" s="15" t="s">
        <v>168</v>
      </c>
      <c r="E14" s="3" t="s">
        <v>160</v>
      </c>
      <c r="F14" s="15" t="s">
        <v>167</v>
      </c>
      <c r="L14" s="3" t="str">
        <f>_xlfn.CONCAT(Metadata!$B$1,"_Quarterly_USFF")</f>
        <v>_Quarterly_USFF</v>
      </c>
    </row>
    <row r="15" spans="1:16">
      <c r="A15" s="15" t="str">
        <f>_xlfn.CONCAT("RMS_EDM_",Metadata!$B$1,"_Quarterly_USFF")</f>
        <v>RMS_EDM__Quarterly_USFF</v>
      </c>
      <c r="B15" s="15" t="s">
        <v>43</v>
      </c>
      <c r="C15" s="15" t="s">
        <v>43</v>
      </c>
      <c r="D15" s="15" t="s">
        <v>168</v>
      </c>
      <c r="E15" s="3" t="s">
        <v>160</v>
      </c>
      <c r="F15" s="15" t="s">
        <v>167</v>
      </c>
      <c r="G15" s="3" t="s">
        <v>122</v>
      </c>
      <c r="H15" s="3" t="s">
        <v>127</v>
      </c>
      <c r="L15" s="3" t="str">
        <f>_xlfn.CONCAT(Metadata!$B$1,"_Quarterly_USFF")</f>
        <v>_Quarterly_USFF</v>
      </c>
    </row>
    <row r="16" spans="1:16">
      <c r="A16" s="15" t="str">
        <f>_xlfn.CONCAT("RMS_EDM_",Metadata!$B$1,"_Quarterly_USFF")</f>
        <v>RMS_EDM__Quarterly_USFF</v>
      </c>
      <c r="B16" s="15" t="s">
        <v>44</v>
      </c>
      <c r="C16" s="15" t="s">
        <v>44</v>
      </c>
      <c r="D16" s="15" t="s">
        <v>168</v>
      </c>
      <c r="E16" s="3" t="s">
        <v>160</v>
      </c>
      <c r="F16" s="15" t="s">
        <v>167</v>
      </c>
      <c r="G16" s="3" t="s">
        <v>122</v>
      </c>
      <c r="H16" s="3" t="s">
        <v>127</v>
      </c>
      <c r="L16" s="3" t="str">
        <f>_xlfn.CONCAT(Metadata!$B$1,"_Quarterly_USFF")</f>
        <v>_Quarterly_USFF</v>
      </c>
    </row>
    <row r="17" spans="1:12">
      <c r="A17" s="15" t="str">
        <f>_xlfn.CONCAT("RMS_EDM_",Metadata!$B$1,"_Quarterly_USFF")</f>
        <v>RMS_EDM__Quarterly_USFF</v>
      </c>
      <c r="B17" s="15" t="s">
        <v>45</v>
      </c>
      <c r="C17" s="15" t="s">
        <v>45</v>
      </c>
      <c r="D17" s="15" t="s">
        <v>168</v>
      </c>
      <c r="E17" s="3" t="s">
        <v>160</v>
      </c>
      <c r="F17" s="15" t="s">
        <v>167</v>
      </c>
      <c r="G17" s="3" t="s">
        <v>122</v>
      </c>
      <c r="H17" s="3" t="s">
        <v>127</v>
      </c>
      <c r="L17" s="3" t="str">
        <f>_xlfn.CONCAT(Metadata!$B$1,"_Quarterly_USFF")</f>
        <v>_Quarterly_USFF</v>
      </c>
    </row>
    <row r="18" spans="1:12">
      <c r="A18" s="15" t="str">
        <f>_xlfn.CONCAT("RMS_EDM_",Metadata!$B$1,"_Quarterly_USFF")</f>
        <v>RMS_EDM__Quarterly_USFF</v>
      </c>
      <c r="B18" s="15" t="s">
        <v>46</v>
      </c>
      <c r="C18" s="15" t="s">
        <v>46</v>
      </c>
      <c r="D18" s="15" t="s">
        <v>168</v>
      </c>
      <c r="E18" s="3" t="s">
        <v>160</v>
      </c>
      <c r="F18" s="15" t="s">
        <v>167</v>
      </c>
      <c r="G18" s="3" t="s">
        <v>122</v>
      </c>
      <c r="H18" s="3" t="s">
        <v>127</v>
      </c>
      <c r="L18" s="3" t="str">
        <f>_xlfn.CONCAT(Metadata!$B$1,"_Quarterly_USFF")</f>
        <v>_Quarterly_USFF</v>
      </c>
    </row>
    <row r="19" spans="1:12">
      <c r="A19" s="15" t="str">
        <f>_xlfn.CONCAT("RMS_EDM_",Metadata!$B$1,"_Quarterly_USFF")</f>
        <v>RMS_EDM__Quarterly_USFF</v>
      </c>
      <c r="B19" s="15" t="s">
        <v>47</v>
      </c>
      <c r="C19" s="15" t="s">
        <v>47</v>
      </c>
      <c r="D19" s="15" t="s">
        <v>168</v>
      </c>
      <c r="E19" s="3" t="s">
        <v>160</v>
      </c>
      <c r="F19" s="15" t="s">
        <v>167</v>
      </c>
      <c r="G19" s="3" t="s">
        <v>122</v>
      </c>
      <c r="H19" s="3" t="s">
        <v>127</v>
      </c>
      <c r="L19" s="3" t="str">
        <f>_xlfn.CONCAT(Metadata!$B$1,"_Quarterly_USFF")</f>
        <v>_Quarterly_USFF</v>
      </c>
    </row>
    <row r="20" spans="1:12">
      <c r="A20" s="15" t="str">
        <f>_xlfn.CONCAT("RMS_EDM_",Metadata!$B$1,"_Quarterly_USFF")</f>
        <v>RMS_EDM__Quarterly_USFF</v>
      </c>
      <c r="B20" s="15" t="s">
        <v>48</v>
      </c>
      <c r="C20" s="15" t="s">
        <v>48</v>
      </c>
      <c r="D20" s="15" t="s">
        <v>168</v>
      </c>
      <c r="E20" s="3" t="s">
        <v>160</v>
      </c>
      <c r="F20" s="15" t="s">
        <v>167</v>
      </c>
      <c r="G20" s="3" t="s">
        <v>122</v>
      </c>
      <c r="H20" s="3" t="s">
        <v>127</v>
      </c>
      <c r="L20" s="3" t="str">
        <f>_xlfn.CONCAT(Metadata!$B$1,"_Quarterly_USFF")</f>
        <v>_Quarterly_USFF</v>
      </c>
    </row>
    <row r="21" spans="1:12">
      <c r="A21" s="15" t="str">
        <f>_xlfn.CONCAT("RMS_EDM_",Metadata!$B$1,"_Quarterly_USFL")</f>
        <v>RMS_EDM__Quarterly_USFL</v>
      </c>
      <c r="B21" s="15" t="s">
        <v>52</v>
      </c>
      <c r="C21" s="15" t="s">
        <v>169</v>
      </c>
      <c r="D21" s="15" t="s">
        <v>170</v>
      </c>
      <c r="E21" s="3" t="s">
        <v>160</v>
      </c>
      <c r="F21" s="15" t="s">
        <v>161</v>
      </c>
      <c r="G21" s="3" t="s">
        <v>122</v>
      </c>
      <c r="H21" s="3" t="s">
        <v>127</v>
      </c>
      <c r="L21" s="3" t="str">
        <f>_xlfn.CONCAT(Metadata!$B$1,"_Quarterly_USFL_LT")</f>
        <v>_Quarterly_USFL_LT</v>
      </c>
    </row>
    <row r="22" spans="1:12">
      <c r="A22" s="15" t="str">
        <f>_xlfn.CONCAT("RMS_EDM_",Metadata!$B$1,"_Quarterly_USFL")</f>
        <v>RMS_EDM__Quarterly_USFL</v>
      </c>
      <c r="B22" s="15" t="s">
        <v>53</v>
      </c>
      <c r="C22" s="15" t="s">
        <v>171</v>
      </c>
      <c r="D22" s="15" t="s">
        <v>170</v>
      </c>
      <c r="E22" s="3" t="s">
        <v>160</v>
      </c>
      <c r="F22" s="15" t="s">
        <v>161</v>
      </c>
      <c r="G22" s="3" t="s">
        <v>122</v>
      </c>
      <c r="H22" s="3" t="s">
        <v>127</v>
      </c>
      <c r="L22" s="3" t="str">
        <f>_xlfn.CONCAT(Metadata!$B$1,"_Quarterly_USFL_LT")</f>
        <v>_Quarterly_USFL_LT</v>
      </c>
    </row>
    <row r="23" spans="1:12">
      <c r="A23" s="15" t="str">
        <f>_xlfn.CONCAT("RMS_EDM_",Metadata!$B$1,"_Quarterly_USFL")</f>
        <v>RMS_EDM__Quarterly_USFL</v>
      </c>
      <c r="B23" s="15" t="s">
        <v>54</v>
      </c>
      <c r="C23" s="15" t="s">
        <v>172</v>
      </c>
      <c r="D23" s="15" t="s">
        <v>170</v>
      </c>
      <c r="E23" s="3" t="s">
        <v>160</v>
      </c>
      <c r="F23" s="15" t="s">
        <v>161</v>
      </c>
      <c r="G23" s="3" t="s">
        <v>122</v>
      </c>
      <c r="H23" s="3" t="s">
        <v>127</v>
      </c>
      <c r="L23" s="3" t="str">
        <f>_xlfn.CONCAT(Metadata!$B$1,"_Quarterly_USFL_LT")</f>
        <v>_Quarterly_USFL_LT</v>
      </c>
    </row>
    <row r="24" spans="1:12">
      <c r="A24" s="15" t="str">
        <f>_xlfn.CONCAT("RMS_EDM_",Metadata!$B$1,"_Quarterly_USFL")</f>
        <v>RMS_EDM__Quarterly_USFL</v>
      </c>
      <c r="B24" s="15" t="s">
        <v>56</v>
      </c>
      <c r="C24" s="15" t="s">
        <v>173</v>
      </c>
      <c r="D24" s="15" t="s">
        <v>170</v>
      </c>
      <c r="E24" s="3" t="s">
        <v>160</v>
      </c>
      <c r="F24" s="15" t="s">
        <v>161</v>
      </c>
      <c r="G24" s="3" t="s">
        <v>122</v>
      </c>
      <c r="H24" s="3" t="s">
        <v>127</v>
      </c>
      <c r="L24" s="3" t="str">
        <f>_xlfn.CONCAT(Metadata!$B$1,"_Quarterly_USFL_LT")</f>
        <v>_Quarterly_USFL_LT</v>
      </c>
    </row>
    <row r="25" spans="1:12">
      <c r="A25" s="15" t="str">
        <f>_xlfn.CONCAT("RMS_EDM_",Metadata!$B$1,"_Quarterly_USFL")</f>
        <v>RMS_EDM__Quarterly_USFL</v>
      </c>
      <c r="B25" s="15" t="s">
        <v>57</v>
      </c>
      <c r="C25" s="15" t="s">
        <v>174</v>
      </c>
      <c r="D25" s="15" t="s">
        <v>175</v>
      </c>
      <c r="E25" s="3" t="s">
        <v>160</v>
      </c>
      <c r="F25" s="15" t="s">
        <v>161</v>
      </c>
      <c r="G25" s="3" t="s">
        <v>122</v>
      </c>
      <c r="H25" s="3" t="s">
        <v>127</v>
      </c>
      <c r="L25" s="3" t="str">
        <f>_xlfn.CONCAT(Metadata!$B$1,"_Quarterly_USFL_LT")</f>
        <v>_Quarterly_USFL_LT</v>
      </c>
    </row>
    <row r="26" spans="1:12">
      <c r="A26" s="15" t="str">
        <f>_xlfn.CONCAT("RMS_EDM_",Metadata!$B$1,"_Quarterly_USFL")</f>
        <v>RMS_EDM__Quarterly_USFL</v>
      </c>
      <c r="B26" s="15" t="s">
        <v>58</v>
      </c>
      <c r="C26" s="15" t="s">
        <v>176</v>
      </c>
      <c r="D26" s="15" t="s">
        <v>175</v>
      </c>
      <c r="E26" s="3" t="s">
        <v>160</v>
      </c>
      <c r="F26" s="15" t="s">
        <v>161</v>
      </c>
      <c r="G26" s="3" t="s">
        <v>122</v>
      </c>
      <c r="H26" s="3" t="s">
        <v>127</v>
      </c>
      <c r="L26" s="3" t="str">
        <f>_xlfn.CONCAT(Metadata!$B$1,"_Quarterly_USFL_LT")</f>
        <v>_Quarterly_USFL_LT</v>
      </c>
    </row>
    <row r="27" spans="1:12">
      <c r="A27" s="15" t="str">
        <f>_xlfn.CONCAT("RMS_EDM_",Metadata!$B$1,"_Quarterly_USHU")</f>
        <v>RMS_EDM__Quarterly_USHU</v>
      </c>
      <c r="B27" s="15" t="s">
        <v>59</v>
      </c>
      <c r="C27" s="15" t="s">
        <v>177</v>
      </c>
      <c r="D27" s="15" t="s">
        <v>178</v>
      </c>
      <c r="E27" s="3" t="s">
        <v>160</v>
      </c>
      <c r="F27" s="15" t="s">
        <v>161</v>
      </c>
      <c r="G27" s="3" t="s">
        <v>128</v>
      </c>
      <c r="L27" s="3" t="str">
        <f>_xlfn.CONCAT(Metadata!$B$1,"_Quarterly_USHU_LT")</f>
        <v>_Quarterly_USHU_LT</v>
      </c>
    </row>
    <row r="28" spans="1:12">
      <c r="A28" s="15" t="str">
        <f>_xlfn.CONCAT("RMS_EDM_",Metadata!$B$1,"_Quarterly_USHU")</f>
        <v>RMS_EDM__Quarterly_USHU</v>
      </c>
      <c r="B28" s="15" t="s">
        <v>61</v>
      </c>
      <c r="C28" s="15" t="s">
        <v>179</v>
      </c>
      <c r="D28" s="15" t="s">
        <v>178</v>
      </c>
      <c r="E28" s="3" t="s">
        <v>160</v>
      </c>
      <c r="F28" s="15" t="s">
        <v>161</v>
      </c>
      <c r="G28" s="3" t="s">
        <v>122</v>
      </c>
      <c r="H28" s="3" t="s">
        <v>127</v>
      </c>
      <c r="L28" s="3" t="str">
        <f>_xlfn.CONCAT(Metadata!$B$1,"_Quarterly_USHU_LT")</f>
        <v>_Quarterly_USHU_LT</v>
      </c>
    </row>
    <row r="29" spans="1:12">
      <c r="A29" s="15" t="str">
        <f>_xlfn.CONCAT("RMS_EDM_",Metadata!$B$1,"_Quarterly_USHU")</f>
        <v>RMS_EDM__Quarterly_USHU</v>
      </c>
      <c r="B29" s="15" t="s">
        <v>62</v>
      </c>
      <c r="C29" s="15" t="s">
        <v>180</v>
      </c>
      <c r="D29" s="15" t="s">
        <v>181</v>
      </c>
      <c r="E29" s="3" t="s">
        <v>160</v>
      </c>
      <c r="F29" s="15" t="s">
        <v>161</v>
      </c>
      <c r="L29" s="3" t="str">
        <f>_xlfn.CONCAT(Metadata!$B$1,"_Quarterly_USHU_LT")</f>
        <v>_Quarterly_USHU_LT</v>
      </c>
    </row>
    <row r="30" spans="1:12">
      <c r="A30" s="15" t="str">
        <f>_xlfn.CONCAT("RMS_EDM_",Metadata!$B$1,"_Quarterly_USHU")</f>
        <v>RMS_EDM__Quarterly_USHU</v>
      </c>
      <c r="B30" s="15" t="s">
        <v>64</v>
      </c>
      <c r="C30" s="15" t="s">
        <v>182</v>
      </c>
      <c r="D30" s="15" t="s">
        <v>181</v>
      </c>
      <c r="E30" s="3" t="s">
        <v>160</v>
      </c>
      <c r="F30" s="15" t="s">
        <v>161</v>
      </c>
      <c r="L30" s="3" t="str">
        <f>_xlfn.CONCAT(Metadata!$B$1,"_Quarterly_USHU_LT")</f>
        <v>_Quarterly_USHU_LT</v>
      </c>
    </row>
    <row r="31" spans="1:12">
      <c r="A31" s="15" t="str">
        <f>_xlfn.CONCAT("RMS_EDM_",Metadata!$B$1,"_Quarterly_USHU")</f>
        <v>RMS_EDM__Quarterly_USHU</v>
      </c>
      <c r="B31" s="15" t="s">
        <v>65</v>
      </c>
      <c r="C31" s="15" t="s">
        <v>183</v>
      </c>
      <c r="D31" s="15" t="s">
        <v>181</v>
      </c>
      <c r="E31" s="3" t="s">
        <v>160</v>
      </c>
      <c r="F31" s="15" t="s">
        <v>161</v>
      </c>
      <c r="G31" s="3" t="s">
        <v>122</v>
      </c>
      <c r="H31" s="3" t="s">
        <v>127</v>
      </c>
      <c r="L31" s="3" t="str">
        <f>_xlfn.CONCAT(Metadata!$B$1,"_Quarterly_USHU_LT")</f>
        <v>_Quarterly_USHU_LT</v>
      </c>
    </row>
    <row r="32" spans="1:12">
      <c r="A32" s="15" t="str">
        <f>_xlfn.CONCAT("RMS_EDM_",Metadata!$B$1,"_Quarterly_USHU")</f>
        <v>RMS_EDM__Quarterly_USHU</v>
      </c>
      <c r="B32" s="15" t="s">
        <v>66</v>
      </c>
      <c r="C32" s="15" t="s">
        <v>184</v>
      </c>
      <c r="D32" s="15" t="s">
        <v>181</v>
      </c>
      <c r="E32" s="3" t="s">
        <v>160</v>
      </c>
      <c r="F32" s="15" t="s">
        <v>161</v>
      </c>
      <c r="G32" s="3" t="s">
        <v>122</v>
      </c>
      <c r="H32" s="3" t="s">
        <v>127</v>
      </c>
      <c r="L32" s="3" t="str">
        <f>_xlfn.CONCAT(Metadata!$B$1,"_Quarterly_USHU_LT")</f>
        <v>_Quarterly_USHU_LT</v>
      </c>
    </row>
    <row r="33" spans="1:12">
      <c r="A33" s="15" t="str">
        <f>_xlfn.CONCAT("RMS_EDM_",Metadata!$B$1,"_Quarterly_USHU")</f>
        <v>RMS_EDM__Quarterly_USHU</v>
      </c>
      <c r="B33" s="15" t="s">
        <v>67</v>
      </c>
      <c r="C33" s="15" t="s">
        <v>185</v>
      </c>
      <c r="D33" s="15" t="s">
        <v>181</v>
      </c>
      <c r="E33" s="3" t="s">
        <v>160</v>
      </c>
      <c r="F33" s="15" t="s">
        <v>161</v>
      </c>
      <c r="G33" s="3" t="s">
        <v>122</v>
      </c>
      <c r="H33" s="3" t="s">
        <v>127</v>
      </c>
      <c r="L33" s="3" t="str">
        <f>_xlfn.CONCAT(Metadata!$B$1,"_Quarterly_USHU_LT")</f>
        <v>_Quarterly_USHU_LT</v>
      </c>
    </row>
    <row r="34" spans="1:12">
      <c r="A34" s="15" t="str">
        <f>_xlfn.CONCAT("RMS_EDM_",Metadata!$B$1,"_Quarterly_USHU")</f>
        <v>RMS_EDM__Quarterly_USHU</v>
      </c>
      <c r="B34" s="15" t="s">
        <v>68</v>
      </c>
      <c r="C34" s="15" t="s">
        <v>186</v>
      </c>
      <c r="D34" s="15" t="s">
        <v>181</v>
      </c>
      <c r="E34" s="3" t="s">
        <v>160</v>
      </c>
      <c r="F34" s="15" t="s">
        <v>161</v>
      </c>
      <c r="G34" s="3" t="s">
        <v>122</v>
      </c>
      <c r="H34" s="3" t="s">
        <v>127</v>
      </c>
      <c r="L34" s="3" t="str">
        <f>_xlfn.CONCAT(Metadata!$B$1,"_Quarterly_USHU_LT")</f>
        <v>_Quarterly_USHU_LT</v>
      </c>
    </row>
    <row r="35" spans="1:12">
      <c r="A35" s="15" t="str">
        <f>_xlfn.CONCAT("RMS_EDM_",Metadata!$B$1,"_Quarterly_USHU")</f>
        <v>RMS_EDM__Quarterly_USHU</v>
      </c>
      <c r="B35" s="15" t="s">
        <v>69</v>
      </c>
      <c r="C35" s="15" t="s">
        <v>187</v>
      </c>
      <c r="D35" s="15" t="s">
        <v>178</v>
      </c>
      <c r="E35" s="3" t="s">
        <v>160</v>
      </c>
      <c r="F35" s="15" t="s">
        <v>161</v>
      </c>
      <c r="L35" s="3" t="str">
        <f>_xlfn.CONCAT(Metadata!$B$1,"_Quarterly_USHU_LT")</f>
        <v>_Quarterly_USHU_LT</v>
      </c>
    </row>
    <row r="36" spans="1:12">
      <c r="A36" s="15" t="str">
        <f>_xlfn.CONCAT("RMS_EDM_",Metadata!$B$1,"_Quarterly_USHU")</f>
        <v>RMS_EDM__Quarterly_USHU</v>
      </c>
      <c r="B36" s="15" t="s">
        <v>70</v>
      </c>
      <c r="C36" s="15" t="s">
        <v>188</v>
      </c>
      <c r="D36" s="15" t="s">
        <v>178</v>
      </c>
      <c r="E36" s="3" t="s">
        <v>160</v>
      </c>
      <c r="F36" s="15" t="s">
        <v>161</v>
      </c>
      <c r="L36" s="3" t="str">
        <f>_xlfn.CONCAT(Metadata!$B$1,"_Quarterly_USHU_LT")</f>
        <v>_Quarterly_USHU_LT</v>
      </c>
    </row>
    <row r="37" spans="1:12">
      <c r="A37" s="15" t="str">
        <f>_xlfn.CONCAT("RMS_EDM_",Metadata!$B$1,"_Quarterly_USHU")</f>
        <v>RMS_EDM__Quarterly_USHU</v>
      </c>
      <c r="B37" s="15" t="s">
        <v>71</v>
      </c>
      <c r="C37" s="15" t="s">
        <v>189</v>
      </c>
      <c r="D37" s="15" t="s">
        <v>178</v>
      </c>
      <c r="E37" s="3" t="s">
        <v>160</v>
      </c>
      <c r="F37" s="15" t="s">
        <v>161</v>
      </c>
      <c r="G37" s="3" t="s">
        <v>122</v>
      </c>
      <c r="H37" s="3" t="s">
        <v>127</v>
      </c>
      <c r="L37" s="3" t="str">
        <f>_xlfn.CONCAT(Metadata!$B$1,"_Quarterly_USHU_LT")</f>
        <v>_Quarterly_USHU_LT</v>
      </c>
    </row>
    <row r="38" spans="1:12">
      <c r="A38" s="15" t="str">
        <f>_xlfn.CONCAT("RMS_EDM_",Metadata!$B$1,"_Quarterly_USHU")</f>
        <v>RMS_EDM__Quarterly_USHU</v>
      </c>
      <c r="B38" s="15" t="s">
        <v>72</v>
      </c>
      <c r="C38" s="15" t="s">
        <v>190</v>
      </c>
      <c r="D38" s="15" t="s">
        <v>178</v>
      </c>
      <c r="E38" s="3" t="s">
        <v>160</v>
      </c>
      <c r="F38" s="15" t="s">
        <v>161</v>
      </c>
      <c r="G38" s="3" t="s">
        <v>122</v>
      </c>
      <c r="H38" s="3" t="s">
        <v>127</v>
      </c>
      <c r="L38" s="3" t="str">
        <f>_xlfn.CONCAT(Metadata!$B$1,"_Quarterly_USHU_LT")</f>
        <v>_Quarterly_USHU_LT</v>
      </c>
    </row>
    <row r="39" spans="1:12">
      <c r="A39" s="15" t="str">
        <f>_xlfn.CONCAT("RMS_EDM_",Metadata!$B$1,"_Quarterly_USHU")</f>
        <v>RMS_EDM__Quarterly_USHU</v>
      </c>
      <c r="B39" s="15" t="s">
        <v>73</v>
      </c>
      <c r="C39" s="15" t="s">
        <v>191</v>
      </c>
      <c r="D39" s="15" t="s">
        <v>178</v>
      </c>
      <c r="E39" s="3" t="s">
        <v>160</v>
      </c>
      <c r="F39" s="15" t="s">
        <v>161</v>
      </c>
      <c r="G39" s="3" t="s">
        <v>122</v>
      </c>
      <c r="H39" s="3" t="s">
        <v>127</v>
      </c>
      <c r="L39" s="3" t="str">
        <f>_xlfn.CONCAT(Metadata!$B$1,"_Quarterly_USHU_LT")</f>
        <v>_Quarterly_USHU_LT</v>
      </c>
    </row>
    <row r="40" spans="1:12">
      <c r="A40" s="15" t="str">
        <f>_xlfn.CONCAT("RMS_EDM_",Metadata!$B$1,"_Quarterly_USHU")</f>
        <v>RMS_EDM__Quarterly_USHU</v>
      </c>
      <c r="B40" s="15" t="s">
        <v>74</v>
      </c>
      <c r="C40" s="15" t="s">
        <v>192</v>
      </c>
      <c r="D40" s="15" t="s">
        <v>178</v>
      </c>
      <c r="E40" s="3" t="s">
        <v>160</v>
      </c>
      <c r="F40" s="15" t="s">
        <v>161</v>
      </c>
      <c r="G40" s="3" t="s">
        <v>122</v>
      </c>
      <c r="H40" s="3" t="s">
        <v>127</v>
      </c>
      <c r="L40" s="3" t="str">
        <f>_xlfn.CONCAT(Metadata!$B$1,"_Quarterly_USHU_LT")</f>
        <v>_Quarterly_USHU_LT</v>
      </c>
    </row>
    <row r="41" spans="1:12">
      <c r="A41" s="15" t="str">
        <f>_xlfn.CONCAT("RMS_EDM_",Metadata!$B$1,"_Quarterly_USHU")</f>
        <v>RMS_EDM__Quarterly_USHU</v>
      </c>
      <c r="B41" s="15" t="s">
        <v>75</v>
      </c>
      <c r="C41" s="15" t="s">
        <v>193</v>
      </c>
      <c r="D41" s="15" t="s">
        <v>178</v>
      </c>
      <c r="E41" s="3" t="s">
        <v>160</v>
      </c>
      <c r="F41" s="15" t="s">
        <v>161</v>
      </c>
      <c r="G41" s="3" t="s">
        <v>122</v>
      </c>
      <c r="H41" s="3" t="s">
        <v>127</v>
      </c>
      <c r="L41" s="3" t="str">
        <f>_xlfn.CONCAT(Metadata!$B$1,"_Quarterly_USHU_LT")</f>
        <v>_Quarterly_USHU_LT</v>
      </c>
    </row>
    <row r="42" spans="1:12">
      <c r="A42" s="15" t="str">
        <f>_xlfn.CONCAT("RMS_EDM_",Metadata!$B$1,"_Quarterly_USHU")</f>
        <v>RMS_EDM__Quarterly_USHU</v>
      </c>
      <c r="B42" s="15" t="s">
        <v>76</v>
      </c>
      <c r="C42" s="15" t="s">
        <v>194</v>
      </c>
      <c r="D42" s="15" t="s">
        <v>178</v>
      </c>
      <c r="E42" s="3" t="s">
        <v>160</v>
      </c>
      <c r="F42" s="15" t="s">
        <v>161</v>
      </c>
      <c r="G42" s="3" t="s">
        <v>122</v>
      </c>
      <c r="H42" s="3" t="s">
        <v>127</v>
      </c>
      <c r="L42" s="3" t="str">
        <f>_xlfn.CONCAT(Metadata!$B$1,"_Quarterly_USHU_LT")</f>
        <v>_Quarterly_USHU_LT</v>
      </c>
    </row>
    <row r="43" spans="1:12">
      <c r="A43" s="15" t="str">
        <f>_xlfn.CONCAT("RMS_EDM_",Metadata!$B$1,"_Quarterly_USST")</f>
        <v>RMS_EDM__Quarterly_USST</v>
      </c>
      <c r="B43" s="15" t="s">
        <v>77</v>
      </c>
      <c r="C43" s="15" t="s">
        <v>195</v>
      </c>
      <c r="D43" s="15" t="s">
        <v>196</v>
      </c>
      <c r="E43" s="3" t="s">
        <v>160</v>
      </c>
      <c r="F43" s="15" t="s">
        <v>197</v>
      </c>
      <c r="L43" s="3" t="str">
        <f>_xlfn.CONCAT(Metadata!$B$1,"_Quarterly_USST")</f>
        <v>_Quarterly_USST</v>
      </c>
    </row>
    <row r="44" spans="1:12">
      <c r="A44" s="15" t="str">
        <f>_xlfn.CONCAT("RMS_EDM_",Metadata!$B$1,"_Quarterly_USST")</f>
        <v>RMS_EDM__Quarterly_USST</v>
      </c>
      <c r="B44" s="15" t="s">
        <v>79</v>
      </c>
      <c r="C44" s="15" t="s">
        <v>198</v>
      </c>
      <c r="D44" s="15" t="s">
        <v>196</v>
      </c>
      <c r="E44" s="3" t="s">
        <v>160</v>
      </c>
      <c r="F44" s="15" t="s">
        <v>197</v>
      </c>
      <c r="L44" s="3" t="str">
        <f>_xlfn.CONCAT(Metadata!$B$1,"_Quarterly_USST")</f>
        <v>_Quarterly_USST</v>
      </c>
    </row>
    <row r="45" spans="1:12">
      <c r="A45" s="15" t="str">
        <f>_xlfn.CONCAT("RMS_EDM_",Metadata!$B$1,"_Quarterly_USST")</f>
        <v>RMS_EDM__Quarterly_USST</v>
      </c>
      <c r="B45" s="15" t="s">
        <v>80</v>
      </c>
      <c r="C45" s="15" t="s">
        <v>199</v>
      </c>
      <c r="D45" s="15" t="s">
        <v>196</v>
      </c>
      <c r="E45" s="3" t="s">
        <v>160</v>
      </c>
      <c r="F45" s="15" t="s">
        <v>197</v>
      </c>
      <c r="G45" s="3" t="s">
        <v>122</v>
      </c>
      <c r="H45" s="3" t="s">
        <v>127</v>
      </c>
      <c r="L45" s="3" t="str">
        <f>_xlfn.CONCAT(Metadata!$B$1,"_Quarterly_USST")</f>
        <v>_Quarterly_USST</v>
      </c>
    </row>
    <row r="46" spans="1:12">
      <c r="A46" s="15" t="str">
        <f>_xlfn.CONCAT("RMS_EDM_",Metadata!$B$1,"_Quarterly_USST")</f>
        <v>RMS_EDM__Quarterly_USST</v>
      </c>
      <c r="B46" s="15" t="s">
        <v>81</v>
      </c>
      <c r="C46" s="15" t="s">
        <v>200</v>
      </c>
      <c r="D46" s="15" t="s">
        <v>196</v>
      </c>
      <c r="E46" s="3" t="s">
        <v>160</v>
      </c>
      <c r="F46" s="15" t="s">
        <v>197</v>
      </c>
      <c r="G46" s="3" t="s">
        <v>122</v>
      </c>
      <c r="H46" s="3" t="s">
        <v>127</v>
      </c>
      <c r="L46" s="3" t="str">
        <f>_xlfn.CONCAT(Metadata!$B$1,"_Quarterly_USST")</f>
        <v>_Quarterly_USST</v>
      </c>
    </row>
    <row r="47" spans="1:12">
      <c r="A47" s="15" t="str">
        <f>_xlfn.CONCAT("RMS_EDM_",Metadata!$B$1,"_Quarterly_USST")</f>
        <v>RMS_EDM__Quarterly_USST</v>
      </c>
      <c r="B47" s="15" t="s">
        <v>82</v>
      </c>
      <c r="C47" s="15" t="s">
        <v>201</v>
      </c>
      <c r="D47" s="15" t="s">
        <v>196</v>
      </c>
      <c r="E47" s="3" t="s">
        <v>160</v>
      </c>
      <c r="F47" s="15" t="s">
        <v>197</v>
      </c>
      <c r="G47" s="3" t="s">
        <v>122</v>
      </c>
      <c r="H47" s="3" t="s">
        <v>127</v>
      </c>
      <c r="L47" s="3" t="str">
        <f>_xlfn.CONCAT(Metadata!$B$1,"_Quarterly_USST")</f>
        <v>_Quarterly_USST</v>
      </c>
    </row>
    <row r="48" spans="1:12">
      <c r="A48" s="15" t="str">
        <f>_xlfn.CONCAT("RMS_EDM_",Metadata!$B$1,"_Quarterly_USST")</f>
        <v>RMS_EDM__Quarterly_USST</v>
      </c>
      <c r="B48" s="15" t="s">
        <v>83</v>
      </c>
      <c r="C48" s="15" t="s">
        <v>202</v>
      </c>
      <c r="D48" s="15" t="s">
        <v>196</v>
      </c>
      <c r="E48" s="3" t="s">
        <v>160</v>
      </c>
      <c r="F48" s="15" t="s">
        <v>197</v>
      </c>
      <c r="G48" s="3" t="s">
        <v>122</v>
      </c>
      <c r="H48" s="3" t="s">
        <v>127</v>
      </c>
      <c r="L48" s="3" t="str">
        <f>_xlfn.CONCAT(Metadata!$B$1,"_Quarterly_USST")</f>
        <v>_Quarterly_USST</v>
      </c>
    </row>
    <row r="49" spans="1:12">
      <c r="A49" s="15" t="str">
        <f>_xlfn.CONCAT("RMS_EDM_",Metadata!$B$1,"_Quarterly_USST")</f>
        <v>RMS_EDM__Quarterly_USST</v>
      </c>
      <c r="B49" s="15" t="s">
        <v>84</v>
      </c>
      <c r="C49" s="15" t="s">
        <v>203</v>
      </c>
      <c r="D49" s="15" t="s">
        <v>196</v>
      </c>
      <c r="E49" s="3" t="s">
        <v>160</v>
      </c>
      <c r="F49" s="15" t="s">
        <v>197</v>
      </c>
      <c r="G49" s="3" t="s">
        <v>122</v>
      </c>
      <c r="H49" s="3" t="s">
        <v>127</v>
      </c>
      <c r="L49" s="3" t="str">
        <f>_xlfn.CONCAT(Metadata!$B$1,"_Quarterly_USST")</f>
        <v>_Quarterly_USST</v>
      </c>
    </row>
    <row r="50" spans="1:12">
      <c r="A50" s="15" t="str">
        <f>_xlfn.CONCAT("RMS_EDM_",Metadata!$B$1,"_Quarterly_USST")</f>
        <v>RMS_EDM__Quarterly_USST</v>
      </c>
      <c r="B50" s="15" t="s">
        <v>85</v>
      </c>
      <c r="C50" s="15" t="s">
        <v>204</v>
      </c>
      <c r="D50" s="15" t="s">
        <v>196</v>
      </c>
      <c r="E50" s="3" t="s">
        <v>160</v>
      </c>
      <c r="F50" s="15" t="s">
        <v>197</v>
      </c>
      <c r="G50" s="3" t="s">
        <v>128</v>
      </c>
      <c r="L50" s="3" t="str">
        <f>_xlfn.CONCAT(Metadata!$B$1,"_Quarterly_USST")</f>
        <v>_Quarterly_USST</v>
      </c>
    </row>
    <row r="51" spans="1:12">
      <c r="A51" s="15" t="str">
        <f>_xlfn.CONCAT("RMS_EDM_",Metadata!$B$1,"_Quarterly_USST")</f>
        <v>RMS_EDM__Quarterly_USST</v>
      </c>
      <c r="B51" s="15" t="s">
        <v>86</v>
      </c>
      <c r="C51" s="15" t="s">
        <v>205</v>
      </c>
      <c r="D51" s="15" t="s">
        <v>196</v>
      </c>
      <c r="E51" s="3" t="s">
        <v>160</v>
      </c>
      <c r="F51" s="15" t="s">
        <v>197</v>
      </c>
      <c r="G51" s="3" t="s">
        <v>122</v>
      </c>
      <c r="H51" s="3" t="s">
        <v>127</v>
      </c>
      <c r="L51" s="3" t="str">
        <f>_xlfn.CONCAT(Metadata!$B$1,"_Quarterly_USST")</f>
        <v>_Quarterly_USST</v>
      </c>
    </row>
    <row r="52" spans="1:12">
      <c r="A52" s="15" t="str">
        <f>_xlfn.CONCAT("RMS_EDM_",Metadata!$B$1,"_Quarterly_USST")</f>
        <v>RMS_EDM__Quarterly_USST</v>
      </c>
      <c r="B52" s="15" t="s">
        <v>87</v>
      </c>
      <c r="C52" s="15" t="s">
        <v>206</v>
      </c>
      <c r="D52" s="15" t="s">
        <v>196</v>
      </c>
      <c r="E52" s="3" t="s">
        <v>160</v>
      </c>
      <c r="F52" s="15" t="s">
        <v>197</v>
      </c>
      <c r="G52" s="3" t="s">
        <v>122</v>
      </c>
      <c r="H52" s="3" t="s">
        <v>127</v>
      </c>
      <c r="L52" s="3" t="str">
        <f>_xlfn.CONCAT(Metadata!$B$1,"_Quarterly_USST")</f>
        <v>_Quarterly_USST</v>
      </c>
    </row>
    <row r="53" spans="1:12">
      <c r="A53" s="15" t="str">
        <f>_xlfn.CONCAT("RMS_EDM_",Metadata!$B$1,"_Quarterly_USWF")</f>
        <v>RMS_EDM__Quarterly_USWF</v>
      </c>
      <c r="B53" s="15" t="s">
        <v>88</v>
      </c>
      <c r="C53" s="15" t="s">
        <v>88</v>
      </c>
      <c r="D53" s="15" t="s">
        <v>552</v>
      </c>
      <c r="E53" s="3" t="s">
        <v>160</v>
      </c>
      <c r="L53" s="3" t="str">
        <f>_xlfn.CONCAT(Metadata!$B$1,"_Quarterly_USWF")</f>
        <v>_Quarterly_USWF</v>
      </c>
    </row>
    <row r="54" spans="1:12">
      <c r="A54" s="15" t="str">
        <f>_xlfn.CONCAT("RMS_EDM_",Metadata!$B$1,"_Quarterly_USWF")</f>
        <v>RMS_EDM__Quarterly_USWF</v>
      </c>
      <c r="B54" s="15" t="s">
        <v>90</v>
      </c>
      <c r="C54" s="15" t="s">
        <v>90</v>
      </c>
      <c r="D54" s="15" t="s">
        <v>552</v>
      </c>
      <c r="E54" s="3" t="s">
        <v>160</v>
      </c>
      <c r="L54" s="3" t="str">
        <f>_xlfn.CONCAT(Metadata!$B$1,"_Quarterly_USWF")</f>
        <v>_Quarterly_USWF</v>
      </c>
    </row>
    <row r="55" spans="1:12">
      <c r="A55" s="15" t="str">
        <f>_xlfn.CONCAT("RMS_EDM_",Metadata!$B$1,"_Quarterly_USWF")</f>
        <v>RMS_EDM__Quarterly_USWF</v>
      </c>
      <c r="B55" s="15" t="s">
        <v>91</v>
      </c>
      <c r="C55" s="15" t="s">
        <v>91</v>
      </c>
      <c r="D55" s="15" t="s">
        <v>552</v>
      </c>
      <c r="E55" s="3" t="s">
        <v>160</v>
      </c>
      <c r="G55" s="3" t="s">
        <v>122</v>
      </c>
      <c r="H55" s="3" t="s">
        <v>127</v>
      </c>
      <c r="L55" s="3" t="str">
        <f>_xlfn.CONCAT(Metadata!$B$1,"_Quarterly_USWF")</f>
        <v>_Quarterly_USWF</v>
      </c>
    </row>
    <row r="56" spans="1:12">
      <c r="A56" s="15" t="str">
        <f>_xlfn.CONCAT("RMS_EDM_",Metadata!$B$1,"_Quarterly_USWF")</f>
        <v>RMS_EDM__Quarterly_USWF</v>
      </c>
      <c r="B56" s="15" t="s">
        <v>92</v>
      </c>
      <c r="C56" s="15" t="s">
        <v>92</v>
      </c>
      <c r="D56" s="15" t="s">
        <v>552</v>
      </c>
      <c r="E56" s="3" t="s">
        <v>160</v>
      </c>
      <c r="G56" s="3" t="s">
        <v>122</v>
      </c>
      <c r="H56" s="3" t="s">
        <v>127</v>
      </c>
      <c r="L56" s="3" t="str">
        <f>_xlfn.CONCAT(Metadata!$B$1,"_Quarterly_USWF")</f>
        <v>_Quarterly_USWF</v>
      </c>
    </row>
    <row r="57" spans="1:12">
      <c r="A57" s="15" t="str">
        <f>_xlfn.CONCAT("RMS_EDM_",Metadata!$B$1,"_Quarterly_USWF")</f>
        <v>RMS_EDM__Quarterly_USWF</v>
      </c>
      <c r="B57" s="15" t="s">
        <v>93</v>
      </c>
      <c r="C57" s="15" t="s">
        <v>93</v>
      </c>
      <c r="D57" s="15" t="s">
        <v>552</v>
      </c>
      <c r="E57" s="3" t="s">
        <v>160</v>
      </c>
      <c r="G57" s="3" t="s">
        <v>122</v>
      </c>
      <c r="H57" s="3" t="s">
        <v>127</v>
      </c>
      <c r="L57" s="3" t="str">
        <f>_xlfn.CONCAT(Metadata!$B$1,"_Quarterly_USWF")</f>
        <v>_Quarterly_USWF</v>
      </c>
    </row>
    <row r="58" spans="1:12">
      <c r="A58" s="15" t="str">
        <f>_xlfn.CONCAT("RMS_EDM_",Metadata!$B$1,"_Quarterly_USWF")</f>
        <v>RMS_EDM__Quarterly_USWF</v>
      </c>
      <c r="B58" s="15" t="s">
        <v>94</v>
      </c>
      <c r="C58" s="15" t="s">
        <v>94</v>
      </c>
      <c r="D58" s="15" t="s">
        <v>552</v>
      </c>
      <c r="E58" s="3" t="s">
        <v>160</v>
      </c>
      <c r="G58" s="3" t="s">
        <v>122</v>
      </c>
      <c r="H58" s="3" t="s">
        <v>127</v>
      </c>
      <c r="L58" s="3" t="str">
        <f>_xlfn.CONCAT(Metadata!$B$1,"_Quarterly_USWF")</f>
        <v>_Quarterly_USWF</v>
      </c>
    </row>
    <row r="59" spans="1:12">
      <c r="A59" s="15" t="str">
        <f>_xlfn.CONCAT("RMS_EDM_",Metadata!$B$1,"_Quarterly_USWF")</f>
        <v>RMS_EDM__Quarterly_USWF</v>
      </c>
      <c r="B59" s="15" t="s">
        <v>95</v>
      </c>
      <c r="C59" s="15" t="s">
        <v>95</v>
      </c>
      <c r="D59" s="15" t="s">
        <v>552</v>
      </c>
      <c r="E59" s="3" t="s">
        <v>160</v>
      </c>
      <c r="G59" s="3" t="s">
        <v>122</v>
      </c>
      <c r="H59" s="3" t="s">
        <v>127</v>
      </c>
      <c r="L59" s="3" t="str">
        <f>_xlfn.CONCAT(Metadata!$B$1,"_Quarterly_USWF")</f>
        <v>_Quarterly_USWF</v>
      </c>
    </row>
    <row r="60" spans="1:12">
      <c r="A60" s="15" t="str">
        <f>_xlfn.CONCAT("RMS_EDM_",Metadata!$B$1,"_Quarterly_USWF")</f>
        <v>RMS_EDM__Quarterly_USWF</v>
      </c>
      <c r="B60" s="15" t="s">
        <v>96</v>
      </c>
      <c r="C60" s="15" t="s">
        <v>96</v>
      </c>
      <c r="D60" s="15" t="s">
        <v>552</v>
      </c>
      <c r="E60" s="3" t="s">
        <v>160</v>
      </c>
      <c r="G60" s="3" t="s">
        <v>128</v>
      </c>
      <c r="L60" s="3" t="str">
        <f>_xlfn.CONCAT(Metadata!$B$1,"_Quarterly_USWF")</f>
        <v>_Quarterly_USWF</v>
      </c>
    </row>
    <row r="61" spans="1:12">
      <c r="A61" s="15" t="str">
        <f>_xlfn.CONCAT("RMS_EDM_",Metadata!$B$1,"_Quarterly_USWF")</f>
        <v>RMS_EDM__Quarterly_USWF</v>
      </c>
      <c r="B61" s="15" t="s">
        <v>97</v>
      </c>
      <c r="C61" s="15" t="s">
        <v>97</v>
      </c>
      <c r="D61" s="15" t="s">
        <v>552</v>
      </c>
      <c r="E61" s="3" t="s">
        <v>160</v>
      </c>
      <c r="G61" s="3" t="s">
        <v>122</v>
      </c>
      <c r="H61" s="3" t="s">
        <v>127</v>
      </c>
      <c r="L61" s="3" t="str">
        <f>_xlfn.CONCAT(Metadata!$B$1,"_Quarterly_USWF")</f>
        <v>_Quarterly_USWF</v>
      </c>
    </row>
    <row r="62" spans="1:12">
      <c r="A62" s="15" t="str">
        <f>_xlfn.CONCAT("RMS_EDM_",Metadata!$B$1,"_Quarterly_USWF")</f>
        <v>RMS_EDM__Quarterly_USWF</v>
      </c>
      <c r="B62" s="15" t="s">
        <v>98</v>
      </c>
      <c r="C62" s="15" t="s">
        <v>98</v>
      </c>
      <c r="D62" s="15" t="s">
        <v>552</v>
      </c>
      <c r="E62" s="3" t="s">
        <v>160</v>
      </c>
      <c r="G62" s="3" t="s">
        <v>122</v>
      </c>
      <c r="H62" s="3" t="s">
        <v>127</v>
      </c>
      <c r="L62" s="3" t="str">
        <f>_xlfn.CONCAT(Metadata!$B$1,"_Quarterly_USWF")</f>
        <v>_Quarterly_USWF</v>
      </c>
    </row>
    <row r="63" spans="1:12">
      <c r="A63" s="15" t="str">
        <f>_xlfn.CONCAT("RMS_EDM_",Metadata!$B$1,"_Quarterly_USFL")</f>
        <v>RMS_EDM__Quarterly_USFL</v>
      </c>
      <c r="B63" s="15" t="s">
        <v>52</v>
      </c>
      <c r="C63" s="15" t="s">
        <v>207</v>
      </c>
      <c r="D63" s="15" t="s">
        <v>208</v>
      </c>
      <c r="E63" s="3" t="s">
        <v>160</v>
      </c>
      <c r="F63" s="3" t="s">
        <v>163</v>
      </c>
      <c r="G63" s="3" t="s">
        <v>122</v>
      </c>
      <c r="H63" s="3" t="s">
        <v>127</v>
      </c>
      <c r="L63" s="3" t="str">
        <f>_xlfn.CONCAT(Metadata!$B$1,"_Quarterly_USFL_NT")</f>
        <v>_Quarterly_USFL_NT</v>
      </c>
    </row>
    <row r="64" spans="1:12">
      <c r="A64" s="15" t="str">
        <f>_xlfn.CONCAT("RMS_EDM_",Metadata!$B$1,"_Quarterly_USFL")</f>
        <v>RMS_EDM__Quarterly_USFL</v>
      </c>
      <c r="B64" s="15" t="s">
        <v>53</v>
      </c>
      <c r="C64" s="15" t="s">
        <v>209</v>
      </c>
      <c r="D64" s="15" t="s">
        <v>208</v>
      </c>
      <c r="E64" s="3" t="s">
        <v>160</v>
      </c>
      <c r="F64" s="3" t="s">
        <v>163</v>
      </c>
      <c r="G64" s="3" t="s">
        <v>122</v>
      </c>
      <c r="H64" s="3" t="s">
        <v>127</v>
      </c>
      <c r="L64" s="3" t="str">
        <f>_xlfn.CONCAT(Metadata!$B$1,"_Quarterly_USFL_NT")</f>
        <v>_Quarterly_USFL_NT</v>
      </c>
    </row>
    <row r="65" spans="1:12">
      <c r="A65" s="15" t="str">
        <f>_xlfn.CONCAT("RMS_EDM_",Metadata!$B$1,"_Quarterly_USFL")</f>
        <v>RMS_EDM__Quarterly_USFL</v>
      </c>
      <c r="B65" s="15" t="s">
        <v>54</v>
      </c>
      <c r="C65" s="15" t="s">
        <v>210</v>
      </c>
      <c r="D65" s="15" t="s">
        <v>208</v>
      </c>
      <c r="E65" s="3" t="s">
        <v>160</v>
      </c>
      <c r="F65" s="3" t="s">
        <v>163</v>
      </c>
      <c r="G65" s="3" t="s">
        <v>122</v>
      </c>
      <c r="H65" s="3" t="s">
        <v>127</v>
      </c>
      <c r="L65" s="3" t="str">
        <f>_xlfn.CONCAT(Metadata!$B$1,"_Quarterly_USFL_NT")</f>
        <v>_Quarterly_USFL_NT</v>
      </c>
    </row>
    <row r="66" spans="1:12">
      <c r="A66" s="15" t="str">
        <f>_xlfn.CONCAT("RMS_EDM_",Metadata!$B$1,"_Quarterly_USFL")</f>
        <v>RMS_EDM__Quarterly_USFL</v>
      </c>
      <c r="B66" s="15" t="s">
        <v>56</v>
      </c>
      <c r="C66" s="15" t="s">
        <v>211</v>
      </c>
      <c r="D66" s="15" t="s">
        <v>208</v>
      </c>
      <c r="E66" s="3" t="s">
        <v>160</v>
      </c>
      <c r="F66" s="3" t="s">
        <v>163</v>
      </c>
      <c r="G66" s="3" t="s">
        <v>122</v>
      </c>
      <c r="H66" s="3" t="s">
        <v>127</v>
      </c>
      <c r="L66" s="3" t="str">
        <f>_xlfn.CONCAT(Metadata!$B$1,"_Quarterly_USFL_NT")</f>
        <v>_Quarterly_USFL_NT</v>
      </c>
    </row>
    <row r="67" spans="1:12">
      <c r="A67" s="15" t="str">
        <f>_xlfn.CONCAT("RMS_EDM_",Metadata!$B$1,"_Quarterly_USFL")</f>
        <v>RMS_EDM__Quarterly_USFL</v>
      </c>
      <c r="B67" s="15" t="s">
        <v>57</v>
      </c>
      <c r="C67" s="15" t="s">
        <v>212</v>
      </c>
      <c r="D67" s="15" t="s">
        <v>213</v>
      </c>
      <c r="E67" s="3" t="s">
        <v>160</v>
      </c>
      <c r="F67" s="3" t="s">
        <v>163</v>
      </c>
      <c r="G67" s="3" t="s">
        <v>122</v>
      </c>
      <c r="H67" s="3" t="s">
        <v>127</v>
      </c>
      <c r="L67" s="3" t="str">
        <f>_xlfn.CONCAT(Metadata!$B$1,"_Quarterly_USFL_NT")</f>
        <v>_Quarterly_USFL_NT</v>
      </c>
    </row>
    <row r="68" spans="1:12">
      <c r="A68" s="15" t="str">
        <f>_xlfn.CONCAT("RMS_EDM_",Metadata!$B$1,"_Quarterly_USFL")</f>
        <v>RMS_EDM__Quarterly_USFL</v>
      </c>
      <c r="B68" s="15" t="s">
        <v>58</v>
      </c>
      <c r="C68" s="15" t="s">
        <v>214</v>
      </c>
      <c r="D68" s="15" t="s">
        <v>213</v>
      </c>
      <c r="E68" s="3" t="s">
        <v>160</v>
      </c>
      <c r="F68" s="3" t="s">
        <v>163</v>
      </c>
      <c r="G68" s="3" t="s">
        <v>122</v>
      </c>
      <c r="H68" s="3" t="s">
        <v>127</v>
      </c>
      <c r="L68" s="3" t="str">
        <f>_xlfn.CONCAT(Metadata!$B$1,"_Quarterly_USFL_NT")</f>
        <v>_Quarterly_USFL_NT</v>
      </c>
    </row>
    <row r="69" spans="1:12">
      <c r="A69" s="15" t="str">
        <f>_xlfn.CONCAT("RMS_EDM_",Metadata!$B$1,"_Quarterly_USHU")</f>
        <v>RMS_EDM__Quarterly_USHU</v>
      </c>
      <c r="B69" s="15" t="s">
        <v>59</v>
      </c>
      <c r="C69" s="15" t="s">
        <v>215</v>
      </c>
      <c r="D69" s="15" t="s">
        <v>178</v>
      </c>
      <c r="E69" s="3" t="s">
        <v>160</v>
      </c>
      <c r="F69" s="3" t="s">
        <v>163</v>
      </c>
      <c r="G69" s="3" t="s">
        <v>128</v>
      </c>
      <c r="L69" s="3" t="str">
        <f>_xlfn.CONCAT(Metadata!$B$1,"_Quarterly_USHU_NT")</f>
        <v>_Quarterly_USHU_NT</v>
      </c>
    </row>
    <row r="70" spans="1:12">
      <c r="A70" s="15" t="str">
        <f>_xlfn.CONCAT("RMS_EDM_",Metadata!$B$1,"_Quarterly_USHU")</f>
        <v>RMS_EDM__Quarterly_USHU</v>
      </c>
      <c r="B70" s="15" t="s">
        <v>61</v>
      </c>
      <c r="C70" s="15" t="s">
        <v>216</v>
      </c>
      <c r="D70" s="15" t="s">
        <v>178</v>
      </c>
      <c r="E70" s="3" t="s">
        <v>160</v>
      </c>
      <c r="F70" s="3" t="s">
        <v>163</v>
      </c>
      <c r="G70" s="3" t="s">
        <v>122</v>
      </c>
      <c r="H70" s="3" t="s">
        <v>127</v>
      </c>
      <c r="L70" s="3" t="str">
        <f>_xlfn.CONCAT(Metadata!$B$1,"_Quarterly_USHU_NT")</f>
        <v>_Quarterly_USHU_NT</v>
      </c>
    </row>
    <row r="71" spans="1:12">
      <c r="A71" s="15" t="str">
        <f>_xlfn.CONCAT("RMS_EDM_",Metadata!$B$1,"_Quarterly_USHU")</f>
        <v>RMS_EDM__Quarterly_USHU</v>
      </c>
      <c r="B71" s="15" t="s">
        <v>62</v>
      </c>
      <c r="C71" s="15" t="s">
        <v>217</v>
      </c>
      <c r="D71" s="15" t="s">
        <v>181</v>
      </c>
      <c r="E71" s="3" t="s">
        <v>160</v>
      </c>
      <c r="F71" s="3" t="s">
        <v>163</v>
      </c>
      <c r="L71" s="3" t="str">
        <f>_xlfn.CONCAT(Metadata!$B$1,"_Quarterly_USHU_NT")</f>
        <v>_Quarterly_USHU_NT</v>
      </c>
    </row>
    <row r="72" spans="1:12">
      <c r="A72" s="15" t="str">
        <f>_xlfn.CONCAT("RMS_EDM_",Metadata!$B$1,"_Quarterly_USHU")</f>
        <v>RMS_EDM__Quarterly_USHU</v>
      </c>
      <c r="B72" s="15" t="s">
        <v>64</v>
      </c>
      <c r="C72" s="15" t="s">
        <v>218</v>
      </c>
      <c r="D72" s="15" t="s">
        <v>181</v>
      </c>
      <c r="E72" s="3" t="s">
        <v>160</v>
      </c>
      <c r="F72" s="3" t="s">
        <v>163</v>
      </c>
      <c r="L72" s="3" t="str">
        <f>_xlfn.CONCAT(Metadata!$B$1,"_Quarterly_USHU_NT")</f>
        <v>_Quarterly_USHU_NT</v>
      </c>
    </row>
    <row r="73" spans="1:12">
      <c r="A73" s="15" t="str">
        <f>_xlfn.CONCAT("RMS_EDM_",Metadata!$B$1,"_Quarterly_USHU")</f>
        <v>RMS_EDM__Quarterly_USHU</v>
      </c>
      <c r="B73" s="15" t="s">
        <v>65</v>
      </c>
      <c r="C73" s="15" t="s">
        <v>219</v>
      </c>
      <c r="D73" s="15" t="s">
        <v>181</v>
      </c>
      <c r="E73" s="3" t="s">
        <v>160</v>
      </c>
      <c r="F73" s="3" t="s">
        <v>163</v>
      </c>
      <c r="G73" s="3" t="s">
        <v>122</v>
      </c>
      <c r="H73" s="3" t="s">
        <v>127</v>
      </c>
      <c r="L73" s="3" t="str">
        <f>_xlfn.CONCAT(Metadata!$B$1,"_Quarterly_USHU_NT")</f>
        <v>_Quarterly_USHU_NT</v>
      </c>
    </row>
    <row r="74" spans="1:12">
      <c r="A74" s="15" t="str">
        <f>_xlfn.CONCAT("RMS_EDM_",Metadata!$B$1,"_Quarterly_USHU")</f>
        <v>RMS_EDM__Quarterly_USHU</v>
      </c>
      <c r="B74" s="15" t="s">
        <v>66</v>
      </c>
      <c r="C74" s="15" t="s">
        <v>220</v>
      </c>
      <c r="D74" s="15" t="s">
        <v>181</v>
      </c>
      <c r="E74" s="3" t="s">
        <v>160</v>
      </c>
      <c r="F74" s="3" t="s">
        <v>163</v>
      </c>
      <c r="G74" s="3" t="s">
        <v>122</v>
      </c>
      <c r="H74" s="3" t="s">
        <v>127</v>
      </c>
      <c r="L74" s="3" t="str">
        <f>_xlfn.CONCAT(Metadata!$B$1,"_Quarterly_USHU_NT")</f>
        <v>_Quarterly_USHU_NT</v>
      </c>
    </row>
    <row r="75" spans="1:12">
      <c r="A75" s="15" t="str">
        <f>_xlfn.CONCAT("RMS_EDM_",Metadata!$B$1,"_Quarterly_USHU")</f>
        <v>RMS_EDM__Quarterly_USHU</v>
      </c>
      <c r="B75" s="15" t="s">
        <v>67</v>
      </c>
      <c r="C75" s="15" t="s">
        <v>221</v>
      </c>
      <c r="D75" s="15" t="s">
        <v>181</v>
      </c>
      <c r="E75" s="3" t="s">
        <v>160</v>
      </c>
      <c r="F75" s="3" t="s">
        <v>163</v>
      </c>
      <c r="G75" s="3" t="s">
        <v>122</v>
      </c>
      <c r="H75" s="3" t="s">
        <v>127</v>
      </c>
      <c r="L75" s="3" t="str">
        <f>_xlfn.CONCAT(Metadata!$B$1,"_Quarterly_USHU_NT")</f>
        <v>_Quarterly_USHU_NT</v>
      </c>
    </row>
    <row r="76" spans="1:12">
      <c r="A76" s="15" t="str">
        <f>_xlfn.CONCAT("RMS_EDM_",Metadata!$B$1,"_Quarterly_USHU")</f>
        <v>RMS_EDM__Quarterly_USHU</v>
      </c>
      <c r="B76" s="15" t="s">
        <v>68</v>
      </c>
      <c r="C76" s="15" t="s">
        <v>222</v>
      </c>
      <c r="D76" s="15" t="s">
        <v>181</v>
      </c>
      <c r="E76" s="3" t="s">
        <v>160</v>
      </c>
      <c r="F76" s="3" t="s">
        <v>163</v>
      </c>
      <c r="G76" s="3" t="s">
        <v>122</v>
      </c>
      <c r="H76" s="3" t="s">
        <v>127</v>
      </c>
      <c r="L76" s="3" t="str">
        <f>_xlfn.CONCAT(Metadata!$B$1,"_Quarterly_USHU_NT")</f>
        <v>_Quarterly_USHU_NT</v>
      </c>
    </row>
    <row r="77" spans="1:12">
      <c r="A77" s="15" t="str">
        <f>_xlfn.CONCAT("RMS_EDM_",Metadata!$B$1,"_Quarterly_USHU")</f>
        <v>RMS_EDM__Quarterly_USHU</v>
      </c>
      <c r="B77" s="15" t="s">
        <v>69</v>
      </c>
      <c r="C77" s="15" t="s">
        <v>223</v>
      </c>
      <c r="D77" s="15" t="s">
        <v>178</v>
      </c>
      <c r="E77" s="3" t="s">
        <v>160</v>
      </c>
      <c r="F77" s="3" t="s">
        <v>163</v>
      </c>
      <c r="L77" s="3" t="str">
        <f>_xlfn.CONCAT(Metadata!$B$1,"_Quarterly_USHU_NT")</f>
        <v>_Quarterly_USHU_NT</v>
      </c>
    </row>
    <row r="78" spans="1:12">
      <c r="A78" s="15" t="str">
        <f>_xlfn.CONCAT("RMS_EDM_",Metadata!$B$1,"_Quarterly_USHU")</f>
        <v>RMS_EDM__Quarterly_USHU</v>
      </c>
      <c r="B78" s="15" t="s">
        <v>70</v>
      </c>
      <c r="C78" s="15" t="s">
        <v>224</v>
      </c>
      <c r="D78" s="15" t="s">
        <v>178</v>
      </c>
      <c r="E78" s="3" t="s">
        <v>160</v>
      </c>
      <c r="F78" s="3" t="s">
        <v>163</v>
      </c>
      <c r="L78" s="3" t="str">
        <f>_xlfn.CONCAT(Metadata!$B$1,"_Quarterly_USHU_NT")</f>
        <v>_Quarterly_USHU_NT</v>
      </c>
    </row>
    <row r="79" spans="1:12">
      <c r="A79" s="15" t="str">
        <f>_xlfn.CONCAT("RMS_EDM_",Metadata!$B$1,"_Quarterly_USHU")</f>
        <v>RMS_EDM__Quarterly_USHU</v>
      </c>
      <c r="B79" s="15" t="s">
        <v>71</v>
      </c>
      <c r="C79" s="15" t="s">
        <v>225</v>
      </c>
      <c r="D79" s="15" t="s">
        <v>178</v>
      </c>
      <c r="E79" s="3" t="s">
        <v>160</v>
      </c>
      <c r="F79" s="3" t="s">
        <v>163</v>
      </c>
      <c r="G79" s="3" t="s">
        <v>122</v>
      </c>
      <c r="H79" s="3" t="s">
        <v>127</v>
      </c>
      <c r="L79" s="3" t="str">
        <f>_xlfn.CONCAT(Metadata!$B$1,"_Quarterly_USHU_NT")</f>
        <v>_Quarterly_USHU_NT</v>
      </c>
    </row>
    <row r="80" spans="1:12">
      <c r="A80" s="15" t="str">
        <f>_xlfn.CONCAT("RMS_EDM_",Metadata!$B$1,"_Quarterly_USHU")</f>
        <v>RMS_EDM__Quarterly_USHU</v>
      </c>
      <c r="B80" s="15" t="s">
        <v>72</v>
      </c>
      <c r="C80" s="15" t="s">
        <v>226</v>
      </c>
      <c r="D80" s="15" t="s">
        <v>178</v>
      </c>
      <c r="E80" s="3" t="s">
        <v>160</v>
      </c>
      <c r="F80" s="3" t="s">
        <v>163</v>
      </c>
      <c r="G80" s="3" t="s">
        <v>122</v>
      </c>
      <c r="H80" s="3" t="s">
        <v>127</v>
      </c>
      <c r="L80" s="3" t="str">
        <f>_xlfn.CONCAT(Metadata!$B$1,"_Quarterly_USHU_NT")</f>
        <v>_Quarterly_USHU_NT</v>
      </c>
    </row>
    <row r="81" spans="1:12">
      <c r="A81" s="15" t="str">
        <f>_xlfn.CONCAT("RMS_EDM_",Metadata!$B$1,"_Quarterly_USHU")</f>
        <v>RMS_EDM__Quarterly_USHU</v>
      </c>
      <c r="B81" s="15" t="s">
        <v>73</v>
      </c>
      <c r="C81" s="15" t="s">
        <v>227</v>
      </c>
      <c r="D81" s="15" t="s">
        <v>178</v>
      </c>
      <c r="E81" s="3" t="s">
        <v>160</v>
      </c>
      <c r="F81" s="3" t="s">
        <v>163</v>
      </c>
      <c r="G81" s="3" t="s">
        <v>122</v>
      </c>
      <c r="H81" s="3" t="s">
        <v>127</v>
      </c>
      <c r="L81" s="3" t="str">
        <f>_xlfn.CONCAT(Metadata!$B$1,"_Quarterly_USHU_NT")</f>
        <v>_Quarterly_USHU_NT</v>
      </c>
    </row>
    <row r="82" spans="1:12">
      <c r="A82" s="15" t="str">
        <f>_xlfn.CONCAT("RMS_EDM_",Metadata!$B$1,"_Quarterly_USHU")</f>
        <v>RMS_EDM__Quarterly_USHU</v>
      </c>
      <c r="B82" s="15" t="s">
        <v>74</v>
      </c>
      <c r="C82" s="15" t="s">
        <v>228</v>
      </c>
      <c r="D82" s="15" t="s">
        <v>178</v>
      </c>
      <c r="E82" s="3" t="s">
        <v>160</v>
      </c>
      <c r="F82" s="3" t="s">
        <v>163</v>
      </c>
      <c r="G82" s="3" t="s">
        <v>122</v>
      </c>
      <c r="H82" s="3" t="s">
        <v>127</v>
      </c>
      <c r="L82" s="3" t="str">
        <f>_xlfn.CONCAT(Metadata!$B$1,"_Quarterly_USHU_NT")</f>
        <v>_Quarterly_USHU_NT</v>
      </c>
    </row>
    <row r="83" spans="1:12">
      <c r="A83" s="15" t="str">
        <f>_xlfn.CONCAT("RMS_EDM_",Metadata!$B$1,"_Quarterly_USHU")</f>
        <v>RMS_EDM__Quarterly_USHU</v>
      </c>
      <c r="B83" s="15" t="s">
        <v>75</v>
      </c>
      <c r="C83" s="15" t="s">
        <v>229</v>
      </c>
      <c r="D83" s="15" t="s">
        <v>178</v>
      </c>
      <c r="E83" s="3" t="s">
        <v>160</v>
      </c>
      <c r="F83" s="3" t="s">
        <v>163</v>
      </c>
      <c r="G83" s="3" t="s">
        <v>122</v>
      </c>
      <c r="H83" s="3" t="s">
        <v>127</v>
      </c>
      <c r="L83" s="3" t="str">
        <f>_xlfn.CONCAT(Metadata!$B$1,"_Quarterly_USHU_NT")</f>
        <v>_Quarterly_USHU_NT</v>
      </c>
    </row>
    <row r="84" spans="1:12">
      <c r="A84" s="15" t="str">
        <f>_xlfn.CONCAT("RMS_EDM_",Metadata!$B$1,"_Quarterly_USHU")</f>
        <v>RMS_EDM__Quarterly_USHU</v>
      </c>
      <c r="B84" s="15" t="s">
        <v>76</v>
      </c>
      <c r="C84" s="15" t="s">
        <v>230</v>
      </c>
      <c r="D84" s="15" t="s">
        <v>178</v>
      </c>
      <c r="E84" s="3" t="s">
        <v>160</v>
      </c>
      <c r="F84" s="3" t="s">
        <v>163</v>
      </c>
      <c r="G84" s="3" t="s">
        <v>122</v>
      </c>
      <c r="H84" s="3" t="s">
        <v>127</v>
      </c>
      <c r="L84" s="3" t="str">
        <f>_xlfn.CONCAT(Metadata!$B$1,"_Quarterly_USHU_NT")</f>
        <v>_Quarterly_USHU_NT</v>
      </c>
    </row>
    <row r="85" spans="1:12">
      <c r="A85" s="15" t="str">
        <f>_xlfn.CONCAT("RMS_EDM_",Metadata!$B$1,"_Quarterly_USST")</f>
        <v>RMS_EDM__Quarterly_USST</v>
      </c>
      <c r="B85" s="15" t="s">
        <v>77</v>
      </c>
      <c r="C85" s="15" t="s">
        <v>231</v>
      </c>
      <c r="D85" s="15" t="s">
        <v>232</v>
      </c>
      <c r="E85" s="3" t="s">
        <v>160</v>
      </c>
      <c r="F85" s="3" t="s">
        <v>197</v>
      </c>
      <c r="L85" s="3" t="str">
        <f>_xlfn.CONCAT(Metadata!$B$1,"_Quarterly_USST")</f>
        <v>_Quarterly_USST</v>
      </c>
    </row>
    <row r="86" spans="1:12">
      <c r="A86" s="15" t="str">
        <f>_xlfn.CONCAT("RMS_EDM_",Metadata!$B$1,"_Quarterly_USST")</f>
        <v>RMS_EDM__Quarterly_USST</v>
      </c>
      <c r="B86" s="15" t="s">
        <v>79</v>
      </c>
      <c r="C86" s="15" t="s">
        <v>233</v>
      </c>
      <c r="D86" s="15" t="s">
        <v>232</v>
      </c>
      <c r="E86" s="3" t="s">
        <v>160</v>
      </c>
      <c r="F86" s="3" t="s">
        <v>197</v>
      </c>
      <c r="L86" s="3" t="str">
        <f>_xlfn.CONCAT(Metadata!$B$1,"_Quarterly_USST")</f>
        <v>_Quarterly_USST</v>
      </c>
    </row>
    <row r="87" spans="1:12">
      <c r="A87" s="15" t="str">
        <f>_xlfn.CONCAT("RMS_EDM_",Metadata!$B$1,"_Quarterly_USST")</f>
        <v>RMS_EDM__Quarterly_USST</v>
      </c>
      <c r="B87" s="15" t="s">
        <v>80</v>
      </c>
      <c r="C87" s="15" t="s">
        <v>234</v>
      </c>
      <c r="D87" s="15" t="s">
        <v>232</v>
      </c>
      <c r="E87" s="3" t="s">
        <v>160</v>
      </c>
      <c r="F87" s="3" t="s">
        <v>197</v>
      </c>
      <c r="G87" s="3" t="s">
        <v>122</v>
      </c>
      <c r="H87" s="3" t="s">
        <v>127</v>
      </c>
      <c r="L87" s="3" t="str">
        <f>_xlfn.CONCAT(Metadata!$B$1,"_Quarterly_USST")</f>
        <v>_Quarterly_USST</v>
      </c>
    </row>
    <row r="88" spans="1:12">
      <c r="A88" s="15" t="str">
        <f>_xlfn.CONCAT("RMS_EDM_",Metadata!$B$1,"_Quarterly_USST")</f>
        <v>RMS_EDM__Quarterly_USST</v>
      </c>
      <c r="B88" s="15" t="s">
        <v>81</v>
      </c>
      <c r="C88" s="15" t="s">
        <v>235</v>
      </c>
      <c r="D88" s="15" t="s">
        <v>232</v>
      </c>
      <c r="E88" s="3" t="s">
        <v>160</v>
      </c>
      <c r="F88" s="3" t="s">
        <v>197</v>
      </c>
      <c r="G88" s="3" t="s">
        <v>122</v>
      </c>
      <c r="H88" s="3" t="s">
        <v>127</v>
      </c>
      <c r="L88" s="3" t="str">
        <f>_xlfn.CONCAT(Metadata!$B$1,"_Quarterly_USST")</f>
        <v>_Quarterly_USST</v>
      </c>
    </row>
    <row r="89" spans="1:12">
      <c r="A89" s="15" t="str">
        <f>_xlfn.CONCAT("RMS_EDM_",Metadata!$B$1,"_Quarterly_USST")</f>
        <v>RMS_EDM__Quarterly_USST</v>
      </c>
      <c r="B89" s="15" t="s">
        <v>82</v>
      </c>
      <c r="C89" s="15" t="s">
        <v>236</v>
      </c>
      <c r="D89" s="15" t="s">
        <v>232</v>
      </c>
      <c r="E89" s="3" t="s">
        <v>160</v>
      </c>
      <c r="F89" s="3" t="s">
        <v>197</v>
      </c>
      <c r="G89" s="3" t="s">
        <v>122</v>
      </c>
      <c r="H89" s="3" t="s">
        <v>127</v>
      </c>
      <c r="L89" s="3" t="str">
        <f>_xlfn.CONCAT(Metadata!$B$1,"_Quarterly_USST")</f>
        <v>_Quarterly_USST</v>
      </c>
    </row>
    <row r="90" spans="1:12">
      <c r="A90" s="15" t="str">
        <f>_xlfn.CONCAT("RMS_EDM_",Metadata!$B$1,"_Quarterly_USST")</f>
        <v>RMS_EDM__Quarterly_USST</v>
      </c>
      <c r="B90" s="15" t="s">
        <v>83</v>
      </c>
      <c r="C90" s="15" t="s">
        <v>237</v>
      </c>
      <c r="D90" s="15" t="s">
        <v>232</v>
      </c>
      <c r="E90" s="3" t="s">
        <v>160</v>
      </c>
      <c r="F90" s="3" t="s">
        <v>197</v>
      </c>
      <c r="G90" s="3" t="s">
        <v>122</v>
      </c>
      <c r="H90" s="3" t="s">
        <v>127</v>
      </c>
      <c r="L90" s="3" t="str">
        <f>_xlfn.CONCAT(Metadata!$B$1,"_Quarterly_USST")</f>
        <v>_Quarterly_USST</v>
      </c>
    </row>
    <row r="91" spans="1:12">
      <c r="A91" s="15" t="str">
        <f>_xlfn.CONCAT("RMS_EDM_",Metadata!$B$1,"_Quarterly_USST")</f>
        <v>RMS_EDM__Quarterly_USST</v>
      </c>
      <c r="B91" s="15" t="s">
        <v>84</v>
      </c>
      <c r="C91" s="15" t="s">
        <v>238</v>
      </c>
      <c r="D91" s="15" t="s">
        <v>232</v>
      </c>
      <c r="E91" s="3" t="s">
        <v>160</v>
      </c>
      <c r="F91" s="3" t="s">
        <v>197</v>
      </c>
      <c r="G91" s="3" t="s">
        <v>122</v>
      </c>
      <c r="H91" s="3" t="s">
        <v>127</v>
      </c>
      <c r="L91" s="3" t="str">
        <f>_xlfn.CONCAT(Metadata!$B$1,"_Quarterly_USST")</f>
        <v>_Quarterly_USST</v>
      </c>
    </row>
    <row r="92" spans="1:12">
      <c r="A92" s="15" t="str">
        <f>_xlfn.CONCAT("RMS_EDM_",Metadata!$B$1,"_Quarterly_USST")</f>
        <v>RMS_EDM__Quarterly_USST</v>
      </c>
      <c r="B92" s="15" t="s">
        <v>85</v>
      </c>
      <c r="C92" s="15" t="s">
        <v>239</v>
      </c>
      <c r="D92" s="15" t="s">
        <v>232</v>
      </c>
      <c r="E92" s="3" t="s">
        <v>160</v>
      </c>
      <c r="F92" s="3" t="s">
        <v>197</v>
      </c>
      <c r="G92" s="3" t="s">
        <v>128</v>
      </c>
      <c r="L92" s="3" t="str">
        <f>_xlfn.CONCAT(Metadata!$B$1,"_Quarterly_USST")</f>
        <v>_Quarterly_USST</v>
      </c>
    </row>
    <row r="93" spans="1:12">
      <c r="A93" s="15" t="str">
        <f>_xlfn.CONCAT("RMS_EDM_",Metadata!$B$1,"_Quarterly_USST")</f>
        <v>RMS_EDM__Quarterly_USST</v>
      </c>
      <c r="B93" s="15" t="s">
        <v>86</v>
      </c>
      <c r="C93" s="15" t="s">
        <v>240</v>
      </c>
      <c r="D93" s="15" t="s">
        <v>232</v>
      </c>
      <c r="E93" s="3" t="s">
        <v>160</v>
      </c>
      <c r="F93" s="3" t="s">
        <v>197</v>
      </c>
      <c r="G93" s="3" t="s">
        <v>122</v>
      </c>
      <c r="H93" s="3" t="s">
        <v>127</v>
      </c>
      <c r="L93" s="3" t="str">
        <f>_xlfn.CONCAT(Metadata!$B$1,"_Quarterly_USST")</f>
        <v>_Quarterly_USST</v>
      </c>
    </row>
    <row r="94" spans="1:12">
      <c r="A94" s="15" t="str">
        <f>_xlfn.CONCAT("RMS_EDM_",Metadata!$B$1,"_Quarterly_USST")</f>
        <v>RMS_EDM__Quarterly_USST</v>
      </c>
      <c r="B94" s="15" t="s">
        <v>87</v>
      </c>
      <c r="C94" s="15" t="s">
        <v>241</v>
      </c>
      <c r="D94" s="15" t="s">
        <v>232</v>
      </c>
      <c r="E94" s="3" t="s">
        <v>160</v>
      </c>
      <c r="F94" s="3" t="s">
        <v>197</v>
      </c>
      <c r="G94" s="3" t="s">
        <v>122</v>
      </c>
      <c r="H94" s="3" t="s">
        <v>127</v>
      </c>
      <c r="L94" s="3" t="str">
        <f>_xlfn.CONCAT(Metadata!$B$1,"_Quarterly_USST")</f>
        <v>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242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249</v>
      </c>
      <c r="I1" s="4" t="s">
        <v>250</v>
      </c>
      <c r="J1" s="4" t="s">
        <v>251</v>
      </c>
      <c r="K1" s="4" t="s">
        <v>252</v>
      </c>
      <c r="L1" s="4" t="s">
        <v>253</v>
      </c>
      <c r="M1" s="4" t="s">
        <v>254</v>
      </c>
      <c r="N1" s="4" t="s">
        <v>255</v>
      </c>
      <c r="O1" s="4" t="s">
        <v>256</v>
      </c>
      <c r="P1" s="4" t="s">
        <v>257</v>
      </c>
      <c r="Q1" s="4" t="s">
        <v>258</v>
      </c>
      <c r="R1" s="4" t="s">
        <v>259</v>
      </c>
      <c r="S1" s="4" t="s">
        <v>260</v>
      </c>
      <c r="T1" s="4" t="s">
        <v>261</v>
      </c>
      <c r="U1" s="4" t="s">
        <v>262</v>
      </c>
      <c r="V1" s="4" t="s">
        <v>263</v>
      </c>
      <c r="W1" s="4" t="s">
        <v>264</v>
      </c>
      <c r="X1" s="4" t="s">
        <v>265</v>
      </c>
      <c r="Y1" s="4" t="s">
        <v>266</v>
      </c>
      <c r="Z1" s="4" t="s">
        <v>267</v>
      </c>
      <c r="AA1" s="4" t="s">
        <v>268</v>
      </c>
      <c r="AB1" s="4" t="s">
        <v>269</v>
      </c>
      <c r="AC1" s="4" t="s">
        <v>270</v>
      </c>
      <c r="AD1" s="4" t="s">
        <v>271</v>
      </c>
      <c r="AE1" s="4" t="s">
        <v>272</v>
      </c>
      <c r="AF1" s="4" t="s">
        <v>273</v>
      </c>
      <c r="AG1" s="4" t="s">
        <v>274</v>
      </c>
      <c r="AH1" s="4" t="s">
        <v>275</v>
      </c>
      <c r="AI1" s="4" t="s">
        <v>276</v>
      </c>
      <c r="AJ1" s="4" t="s">
        <v>277</v>
      </c>
      <c r="AK1" s="4" t="s">
        <v>278</v>
      </c>
      <c r="AL1" s="4" t="s">
        <v>279</v>
      </c>
      <c r="AM1" s="4" t="s">
        <v>280</v>
      </c>
      <c r="AN1" s="4" t="s">
        <v>281</v>
      </c>
      <c r="AO1" s="4" t="s">
        <v>282</v>
      </c>
      <c r="AP1" s="4" t="s">
        <v>283</v>
      </c>
      <c r="AQ1" s="4" t="s">
        <v>284</v>
      </c>
      <c r="AR1" s="4" t="s">
        <v>285</v>
      </c>
      <c r="AS1" s="4" t="s">
        <v>286</v>
      </c>
      <c r="AT1" s="4" t="s">
        <v>287</v>
      </c>
      <c r="AU1" s="4" t="s">
        <v>288</v>
      </c>
      <c r="AV1" s="4" t="s">
        <v>289</v>
      </c>
      <c r="AW1" s="4" t="s">
        <v>290</v>
      </c>
      <c r="AX1" s="4" t="s">
        <v>291</v>
      </c>
      <c r="AY1" s="4" t="s">
        <v>292</v>
      </c>
    </row>
    <row r="2" spans="1:51">
      <c r="A2" s="5" t="str">
        <f>_xlfn.CONCAT(Metadata!$B$1,"_USST_Geico_HIP2_Group")</f>
        <v>_USST_Geico_HIP2_Group</v>
      </c>
      <c r="B2" s="5" t="s">
        <v>204</v>
      </c>
      <c r="C2" s="5" t="s">
        <v>239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_USHU_LT_Manufactured_Housing_Group</v>
      </c>
      <c r="B3" s="5" t="s">
        <v>185</v>
      </c>
      <c r="C3" s="5" t="s">
        <v>193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_USHU_NT_Manufactured_Housing_Group</v>
      </c>
      <c r="B4" s="5" t="s">
        <v>221</v>
      </c>
      <c r="C4" s="5" t="s">
        <v>229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_USHU_LT_Renters_Group</v>
      </c>
      <c r="B5" s="5" t="s">
        <v>184</v>
      </c>
      <c r="C5" s="5" t="s">
        <v>192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_USHU_NT_Renters_Group</v>
      </c>
      <c r="B6" s="5" t="s">
        <v>220</v>
      </c>
      <c r="C6" s="5" t="s">
        <v>228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_USHU_LT_Other_Group</v>
      </c>
      <c r="B7" s="5" t="s">
        <v>183</v>
      </c>
      <c r="C7" s="5" t="s">
        <v>189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_USHU_NT_Other_Group</v>
      </c>
      <c r="B8" s="5" t="s">
        <v>219</v>
      </c>
      <c r="C8" s="5" t="s">
        <v>225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_USHU_LT_LendarPlaced_Group</v>
      </c>
      <c r="B9" s="5" t="s">
        <v>186</v>
      </c>
      <c r="C9" s="5" t="s">
        <v>194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_USHU_NT_LendarPlaced_Group</v>
      </c>
      <c r="B10" s="5" t="s">
        <v>222</v>
      </c>
      <c r="C10" s="5" t="s">
        <v>230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_NT_USHU_Group</v>
      </c>
      <c r="B11" s="5" t="s">
        <v>215</v>
      </c>
      <c r="C11" s="5" t="s">
        <v>216</v>
      </c>
      <c r="D11" s="5" t="s">
        <v>219</v>
      </c>
      <c r="E11" s="5" t="s">
        <v>220</v>
      </c>
      <c r="F11" s="5" t="s">
        <v>221</v>
      </c>
      <c r="G11" s="5" t="s">
        <v>222</v>
      </c>
      <c r="H11" s="5" t="s">
        <v>225</v>
      </c>
      <c r="I11" s="5" t="s">
        <v>226</v>
      </c>
      <c r="J11" s="5" t="s">
        <v>227</v>
      </c>
      <c r="K11" s="5" t="s">
        <v>228</v>
      </c>
      <c r="L11" s="5" t="s">
        <v>229</v>
      </c>
      <c r="M11" s="5" t="s">
        <v>230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_LT_USHU_Group</v>
      </c>
      <c r="B12" s="5" t="s">
        <v>177</v>
      </c>
      <c r="C12" s="5" t="s">
        <v>179</v>
      </c>
      <c r="D12" s="5" t="s">
        <v>183</v>
      </c>
      <c r="E12" s="5" t="s">
        <v>184</v>
      </c>
      <c r="F12" s="5" t="s">
        <v>185</v>
      </c>
      <c r="G12" s="5" t="s">
        <v>186</v>
      </c>
      <c r="H12" s="5" t="s">
        <v>189</v>
      </c>
      <c r="I12" s="5" t="s">
        <v>190</v>
      </c>
      <c r="J12" s="5" t="s">
        <v>191</v>
      </c>
      <c r="K12" s="5" t="s">
        <v>192</v>
      </c>
      <c r="L12" s="5" t="s">
        <v>193</v>
      </c>
      <c r="M12" s="5" t="s">
        <v>194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_USEQ_Group</v>
      </c>
      <c r="B13" s="5" t="s">
        <v>34</v>
      </c>
      <c r="C13" s="5" t="s">
        <v>35</v>
      </c>
      <c r="D13" s="5" t="s">
        <v>36</v>
      </c>
      <c r="E13" s="5" t="s">
        <v>37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_USFF_Group</v>
      </c>
      <c r="B14" s="5" t="s">
        <v>38</v>
      </c>
      <c r="C14" s="5" t="s">
        <v>40</v>
      </c>
      <c r="D14" s="5" t="s">
        <v>43</v>
      </c>
      <c r="E14" s="5" t="s">
        <v>44</v>
      </c>
      <c r="F14" s="5" t="s">
        <v>45</v>
      </c>
      <c r="G14" s="5" t="s">
        <v>46</v>
      </c>
      <c r="H14" s="5" t="s">
        <v>47</v>
      </c>
      <c r="I14" s="5" t="s">
        <v>48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_USWF_Group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96</v>
      </c>
      <c r="H15" s="5" t="s">
        <v>97</v>
      </c>
      <c r="I15" s="5" t="s">
        <v>98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_USST_Group</v>
      </c>
      <c r="B16" s="5" t="s">
        <v>199</v>
      </c>
      <c r="C16" s="5" t="s">
        <v>200</v>
      </c>
      <c r="D16" s="5" t="s">
        <v>201</v>
      </c>
      <c r="E16" s="5" t="s">
        <v>202</v>
      </c>
      <c r="F16" s="5" t="s">
        <v>203</v>
      </c>
      <c r="G16" s="5" t="s">
        <v>204</v>
      </c>
      <c r="H16" s="5" t="s">
        <v>205</v>
      </c>
      <c r="I16" s="5" t="s">
        <v>206</v>
      </c>
      <c r="J16" s="5" t="s">
        <v>234</v>
      </c>
      <c r="K16" s="5" t="s">
        <v>235</v>
      </c>
      <c r="L16" s="5" t="s">
        <v>236</v>
      </c>
      <c r="M16" s="5" t="s">
        <v>237</v>
      </c>
      <c r="N16" s="5" t="s">
        <v>238</v>
      </c>
      <c r="O16" s="5" t="s">
        <v>239</v>
      </c>
      <c r="P16" s="5" t="s">
        <v>240</v>
      </c>
      <c r="Q16" s="5" t="s">
        <v>241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_LenderPlaced_LT_All_PerilxWFIF_Group</v>
      </c>
      <c r="B17" s="5" t="s">
        <v>158</v>
      </c>
      <c r="C17" s="5" t="s">
        <v>48</v>
      </c>
      <c r="D17" s="5" t="s">
        <v>173</v>
      </c>
      <c r="E17" s="5" t="s">
        <v>186</v>
      </c>
      <c r="F17" s="5" t="s">
        <v>194</v>
      </c>
      <c r="G17" s="5" t="s">
        <v>206</v>
      </c>
      <c r="H17" s="5" t="s">
        <v>241</v>
      </c>
      <c r="I17" s="5" t="s">
        <v>29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_LenderPlaced_LT_All_Peril_Group</v>
      </c>
      <c r="B18" s="5" t="s">
        <v>158</v>
      </c>
      <c r="C18" s="5" t="s">
        <v>48</v>
      </c>
      <c r="D18" s="5" t="s">
        <v>173</v>
      </c>
      <c r="E18" s="5" t="s">
        <v>186</v>
      </c>
      <c r="F18" s="5" t="s">
        <v>194</v>
      </c>
      <c r="G18" s="5" t="s">
        <v>206</v>
      </c>
      <c r="H18" s="5" t="s">
        <v>241</v>
      </c>
      <c r="I18" s="5" t="s">
        <v>98</v>
      </c>
      <c r="J18" s="5" t="s">
        <v>29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_LenderPlacedxCB_LT_All_PerilxWFIF_Group</v>
      </c>
      <c r="B19" s="5" t="s">
        <v>48</v>
      </c>
      <c r="C19" s="5" t="s">
        <v>173</v>
      </c>
      <c r="D19" s="5" t="s">
        <v>186</v>
      </c>
      <c r="E19" s="5" t="s">
        <v>194</v>
      </c>
      <c r="F19" s="5" t="s">
        <v>206</v>
      </c>
      <c r="G19" s="5" t="s">
        <v>241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_LenderPlacedxCB_LT_All_Peril_Group</v>
      </c>
      <c r="B20" s="5" t="s">
        <v>48</v>
      </c>
      <c r="C20" s="5" t="s">
        <v>173</v>
      </c>
      <c r="D20" s="5" t="s">
        <v>186</v>
      </c>
      <c r="E20" s="5" t="s">
        <v>194</v>
      </c>
      <c r="F20" s="5" t="s">
        <v>206</v>
      </c>
      <c r="G20" s="5" t="s">
        <v>241</v>
      </c>
      <c r="H20" s="5" t="s">
        <v>98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_Geico_HIP2_LT_All_Peril_Group</v>
      </c>
      <c r="B21" s="5" t="s">
        <v>38</v>
      </c>
      <c r="C21" s="5" t="s">
        <v>177</v>
      </c>
      <c r="D21" s="5" t="s">
        <v>204</v>
      </c>
      <c r="E21" s="5" t="s">
        <v>239</v>
      </c>
      <c r="F21" s="5" t="s">
        <v>96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_Geico_HIP2_LT_All_PerilxWFIF_Group</v>
      </c>
      <c r="B22" s="5" t="s">
        <v>38</v>
      </c>
      <c r="C22" s="5" t="s">
        <v>177</v>
      </c>
      <c r="D22" s="5" t="s">
        <v>204</v>
      </c>
      <c r="E22" s="5" t="s">
        <v>239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_Condominium_LT_All_Peril_Group</v>
      </c>
      <c r="B23" s="5" t="s">
        <v>35</v>
      </c>
      <c r="C23" s="5" t="s">
        <v>45</v>
      </c>
      <c r="D23" s="5" t="s">
        <v>191</v>
      </c>
      <c r="E23" s="5" t="s">
        <v>201</v>
      </c>
      <c r="F23" s="5" t="s">
        <v>236</v>
      </c>
      <c r="G23" s="5" t="s">
        <v>93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_Condominium_LT_All_PerilxWFIF_Group</v>
      </c>
      <c r="B24" s="5" t="s">
        <v>35</v>
      </c>
      <c r="C24" s="5" t="s">
        <v>45</v>
      </c>
      <c r="D24" s="5" t="s">
        <v>191</v>
      </c>
      <c r="E24" s="5" t="s">
        <v>201</v>
      </c>
      <c r="F24" s="5" t="s">
        <v>236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_Geico_HIP1_LT_All_Peril_Group</v>
      </c>
      <c r="B25" s="5" t="s">
        <v>40</v>
      </c>
      <c r="C25" s="5" t="s">
        <v>179</v>
      </c>
      <c r="D25" s="5" t="s">
        <v>205</v>
      </c>
      <c r="E25" s="5" t="s">
        <v>240</v>
      </c>
      <c r="F25" s="5" t="s">
        <v>97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_Geico_HIP1_LT_All_PerilxWFIF_Group</v>
      </c>
      <c r="B26" s="5" t="s">
        <v>40</v>
      </c>
      <c r="C26" s="5" t="s">
        <v>179</v>
      </c>
      <c r="D26" s="5" t="s">
        <v>205</v>
      </c>
      <c r="E26" s="5" t="s">
        <v>240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_Renters_LT_All_Peril_Group</v>
      </c>
      <c r="B27" s="5" t="s">
        <v>36</v>
      </c>
      <c r="C27" s="5" t="s">
        <v>46</v>
      </c>
      <c r="D27" s="5" t="s">
        <v>171</v>
      </c>
      <c r="E27" s="5" t="s">
        <v>184</v>
      </c>
      <c r="F27" s="5" t="s">
        <v>192</v>
      </c>
      <c r="G27" s="5" t="s">
        <v>202</v>
      </c>
      <c r="H27" s="5" t="s">
        <v>237</v>
      </c>
      <c r="I27" s="5" t="s">
        <v>94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_Renters_LT_All_PerilxWFIF_Group</v>
      </c>
      <c r="B28" s="5" t="s">
        <v>36</v>
      </c>
      <c r="C28" s="5" t="s">
        <v>46</v>
      </c>
      <c r="D28" s="5" t="s">
        <v>171</v>
      </c>
      <c r="E28" s="5" t="s">
        <v>184</v>
      </c>
      <c r="F28" s="5" t="s">
        <v>192</v>
      </c>
      <c r="G28" s="5" t="s">
        <v>202</v>
      </c>
      <c r="H28" s="5" t="s">
        <v>237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_Choice_First_Select_LT_All_Peril_Group</v>
      </c>
      <c r="B29" s="5" t="s">
        <v>34</v>
      </c>
      <c r="C29" s="5" t="s">
        <v>44</v>
      </c>
      <c r="D29" s="5" t="s">
        <v>190</v>
      </c>
      <c r="E29" s="5" t="s">
        <v>200</v>
      </c>
      <c r="F29" s="5" t="s">
        <v>235</v>
      </c>
      <c r="G29" s="5" t="s">
        <v>92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_Choice_First_Select_LT_All_PerilxWFIF_Group</v>
      </c>
      <c r="B30" s="5" t="s">
        <v>34</v>
      </c>
      <c r="C30" s="5" t="s">
        <v>44</v>
      </c>
      <c r="D30" s="5" t="s">
        <v>190</v>
      </c>
      <c r="E30" s="5" t="s">
        <v>200</v>
      </c>
      <c r="F30" s="5" t="s">
        <v>235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_Manufactured_Housing_LT_All_Peril_Group</v>
      </c>
      <c r="B31" s="5" t="s">
        <v>37</v>
      </c>
      <c r="C31" s="5" t="s">
        <v>47</v>
      </c>
      <c r="D31" s="5" t="s">
        <v>172</v>
      </c>
      <c r="E31" s="5" t="s">
        <v>185</v>
      </c>
      <c r="F31" s="5" t="s">
        <v>193</v>
      </c>
      <c r="G31" s="5" t="s">
        <v>203</v>
      </c>
      <c r="H31" s="5" t="s">
        <v>238</v>
      </c>
      <c r="I31" s="5" t="s">
        <v>95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_Manufactured_Housing_LT_All_PerilxWFIF_Group</v>
      </c>
      <c r="B32" s="5" t="s">
        <v>37</v>
      </c>
      <c r="C32" s="5" t="s">
        <v>47</v>
      </c>
      <c r="D32" s="5" t="s">
        <v>172</v>
      </c>
      <c r="E32" s="5" t="s">
        <v>185</v>
      </c>
      <c r="F32" s="5" t="s">
        <v>193</v>
      </c>
      <c r="G32" s="5" t="s">
        <v>203</v>
      </c>
      <c r="H32" s="5" t="s">
        <v>238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_Other_LT_All_Peril_Group</v>
      </c>
      <c r="B33" s="5" t="s">
        <v>43</v>
      </c>
      <c r="C33" s="5" t="s">
        <v>169</v>
      </c>
      <c r="D33" s="5" t="s">
        <v>183</v>
      </c>
      <c r="E33" s="5" t="s">
        <v>189</v>
      </c>
      <c r="F33" s="5" t="s">
        <v>199</v>
      </c>
      <c r="G33" s="5" t="s">
        <v>234</v>
      </c>
      <c r="H33" s="5" t="s">
        <v>91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_Other_LT_All_PerilxWFIF_Group</v>
      </c>
      <c r="B34" s="5" t="s">
        <v>43</v>
      </c>
      <c r="C34" s="5" t="s">
        <v>169</v>
      </c>
      <c r="D34" s="5" t="s">
        <v>183</v>
      </c>
      <c r="E34" s="5" t="s">
        <v>189</v>
      </c>
      <c r="F34" s="5" t="s">
        <v>199</v>
      </c>
      <c r="G34" s="5" t="s">
        <v>234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_LenderPlaced_NT_All_PerilxWFIF_Group</v>
      </c>
      <c r="B35" s="5" t="s">
        <v>162</v>
      </c>
      <c r="C35" s="5" t="s">
        <v>48</v>
      </c>
      <c r="D35" s="5" t="s">
        <v>211</v>
      </c>
      <c r="E35" s="5" t="s">
        <v>206</v>
      </c>
      <c r="F35" s="5" t="s">
        <v>222</v>
      </c>
      <c r="G35" s="5" t="s">
        <v>230</v>
      </c>
      <c r="H35" s="5" t="s">
        <v>241</v>
      </c>
      <c r="I35" s="5" t="s">
        <v>29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_LenderPlaced_NT_All_Peril_Group</v>
      </c>
      <c r="B36" s="5" t="s">
        <v>162</v>
      </c>
      <c r="C36" s="5" t="s">
        <v>48</v>
      </c>
      <c r="D36" s="5" t="s">
        <v>211</v>
      </c>
      <c r="E36" s="5" t="s">
        <v>206</v>
      </c>
      <c r="F36" s="5" t="s">
        <v>222</v>
      </c>
      <c r="G36" s="5" t="s">
        <v>230</v>
      </c>
      <c r="H36" s="5" t="s">
        <v>241</v>
      </c>
      <c r="I36" s="5" t="s">
        <v>98</v>
      </c>
      <c r="J36" s="5" t="s">
        <v>29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_LenderPlacedxCB_NT_All_PerilxWFIF_Group</v>
      </c>
      <c r="B37" s="5" t="s">
        <v>48</v>
      </c>
      <c r="C37" s="5" t="s">
        <v>211</v>
      </c>
      <c r="D37" s="5" t="s">
        <v>206</v>
      </c>
      <c r="E37" s="5" t="s">
        <v>222</v>
      </c>
      <c r="F37" s="5" t="s">
        <v>230</v>
      </c>
      <c r="G37" s="5" t="s">
        <v>241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_LenderPlacedxCB_NT_All_Peril_Group</v>
      </c>
      <c r="B38" s="5" t="s">
        <v>48</v>
      </c>
      <c r="C38" s="5" t="s">
        <v>211</v>
      </c>
      <c r="D38" s="5" t="s">
        <v>206</v>
      </c>
      <c r="E38" s="5" t="s">
        <v>222</v>
      </c>
      <c r="F38" s="5" t="s">
        <v>230</v>
      </c>
      <c r="G38" s="5" t="s">
        <v>241</v>
      </c>
      <c r="H38" s="5" t="s">
        <v>98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_Geico_HIP2_NT_All_Peril_Group</v>
      </c>
      <c r="B39" s="5" t="s">
        <v>38</v>
      </c>
      <c r="C39" s="5" t="s">
        <v>204</v>
      </c>
      <c r="D39" s="5" t="s">
        <v>215</v>
      </c>
      <c r="E39" s="5" t="s">
        <v>239</v>
      </c>
      <c r="F39" s="5" t="s">
        <v>96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_Geico_HIP2_NT_All_PerilxWFIF_Group</v>
      </c>
      <c r="B40" s="5" t="s">
        <v>38</v>
      </c>
      <c r="C40" s="5" t="s">
        <v>204</v>
      </c>
      <c r="D40" s="5" t="s">
        <v>215</v>
      </c>
      <c r="E40" s="5" t="s">
        <v>239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_Condominium_NT_All_PerilxWFIF_Group</v>
      </c>
      <c r="B41" s="5" t="s">
        <v>35</v>
      </c>
      <c r="C41" s="5" t="s">
        <v>45</v>
      </c>
      <c r="D41" s="5" t="s">
        <v>201</v>
      </c>
      <c r="E41" s="5" t="s">
        <v>227</v>
      </c>
      <c r="F41" s="5" t="s">
        <v>236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_Condominium_NT_All_Peril_Group</v>
      </c>
      <c r="B42" s="5" t="s">
        <v>35</v>
      </c>
      <c r="C42" s="5" t="s">
        <v>45</v>
      </c>
      <c r="D42" s="5" t="s">
        <v>201</v>
      </c>
      <c r="E42" s="5" t="s">
        <v>227</v>
      </c>
      <c r="F42" s="5" t="s">
        <v>236</v>
      </c>
      <c r="G42" s="5" t="s">
        <v>93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_Geico_HIP1_NT_All_Peril_Group</v>
      </c>
      <c r="B43" s="5" t="s">
        <v>40</v>
      </c>
      <c r="C43" s="5" t="s">
        <v>205</v>
      </c>
      <c r="D43" s="5" t="s">
        <v>216</v>
      </c>
      <c r="E43" s="5" t="s">
        <v>240</v>
      </c>
      <c r="F43" s="5" t="s">
        <v>97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_Geico_HIP1_NT_All_PerilxWFIF_Group</v>
      </c>
      <c r="B44" s="5" t="s">
        <v>40</v>
      </c>
      <c r="C44" s="5" t="s">
        <v>205</v>
      </c>
      <c r="D44" s="5" t="s">
        <v>216</v>
      </c>
      <c r="E44" s="5" t="s">
        <v>240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_Renters_NT_All_Peril_Group</v>
      </c>
      <c r="B45" s="5" t="s">
        <v>36</v>
      </c>
      <c r="C45" s="5" t="s">
        <v>46</v>
      </c>
      <c r="D45" s="5" t="s">
        <v>209</v>
      </c>
      <c r="E45" s="5" t="s">
        <v>202</v>
      </c>
      <c r="F45" s="5" t="s">
        <v>220</v>
      </c>
      <c r="G45" s="5" t="s">
        <v>228</v>
      </c>
      <c r="H45" s="5" t="s">
        <v>237</v>
      </c>
      <c r="I45" s="5" t="s">
        <v>94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_Renters_NT_All_PerilxWFIF_Group</v>
      </c>
      <c r="B46" s="5" t="s">
        <v>36</v>
      </c>
      <c r="C46" s="5" t="s">
        <v>46</v>
      </c>
      <c r="D46" s="5" t="s">
        <v>209</v>
      </c>
      <c r="E46" s="5" t="s">
        <v>202</v>
      </c>
      <c r="F46" s="5" t="s">
        <v>220</v>
      </c>
      <c r="G46" s="5" t="s">
        <v>228</v>
      </c>
      <c r="H46" s="5" t="s">
        <v>237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_Choice_First_Select_NT_All_Peril_Group</v>
      </c>
      <c r="B47" s="5" t="s">
        <v>34</v>
      </c>
      <c r="C47" s="5" t="s">
        <v>44</v>
      </c>
      <c r="D47" s="5" t="s">
        <v>200</v>
      </c>
      <c r="E47" s="5" t="s">
        <v>226</v>
      </c>
      <c r="F47" s="5" t="s">
        <v>235</v>
      </c>
      <c r="G47" s="5" t="s">
        <v>92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_Choice_First_Select_NT_All_PerilxWFIF_Group</v>
      </c>
      <c r="B48" s="5" t="s">
        <v>34</v>
      </c>
      <c r="C48" s="5" t="s">
        <v>44</v>
      </c>
      <c r="D48" s="5" t="s">
        <v>200</v>
      </c>
      <c r="E48" s="5" t="s">
        <v>226</v>
      </c>
      <c r="F48" s="5" t="s">
        <v>235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_Manufactured_Housing_NT_All_Peril_Group</v>
      </c>
      <c r="B49" s="5" t="s">
        <v>37</v>
      </c>
      <c r="C49" s="5" t="s">
        <v>47</v>
      </c>
      <c r="D49" s="5" t="s">
        <v>210</v>
      </c>
      <c r="E49" s="5" t="s">
        <v>203</v>
      </c>
      <c r="F49" s="5" t="s">
        <v>221</v>
      </c>
      <c r="G49" s="5" t="s">
        <v>229</v>
      </c>
      <c r="H49" s="5" t="s">
        <v>238</v>
      </c>
      <c r="I49" s="5" t="s">
        <v>95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_Manufactured_Housing_NT_All_PerilxWFIF_Group</v>
      </c>
      <c r="B50" s="5" t="s">
        <v>37</v>
      </c>
      <c r="C50" s="5" t="s">
        <v>47</v>
      </c>
      <c r="D50" s="5" t="s">
        <v>210</v>
      </c>
      <c r="E50" s="5" t="s">
        <v>203</v>
      </c>
      <c r="F50" s="5" t="s">
        <v>221</v>
      </c>
      <c r="G50" s="5" t="s">
        <v>229</v>
      </c>
      <c r="H50" s="5" t="s">
        <v>238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_Other_NT_All_Peril_Group</v>
      </c>
      <c r="B51" s="5" t="s">
        <v>43</v>
      </c>
      <c r="C51" s="5" t="s">
        <v>207</v>
      </c>
      <c r="D51" s="5" t="s">
        <v>199</v>
      </c>
      <c r="E51" s="5" t="s">
        <v>219</v>
      </c>
      <c r="F51" s="5" t="s">
        <v>225</v>
      </c>
      <c r="G51" s="5" t="s">
        <v>234</v>
      </c>
      <c r="H51" s="5" t="s">
        <v>91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_Other_NT_All_PerilxWFIF_Group</v>
      </c>
      <c r="B52" s="5" t="s">
        <v>43</v>
      </c>
      <c r="C52" s="5" t="s">
        <v>207</v>
      </c>
      <c r="D52" s="5" t="s">
        <v>199</v>
      </c>
      <c r="E52" s="5" t="s">
        <v>219</v>
      </c>
      <c r="F52" s="5" t="s">
        <v>225</v>
      </c>
      <c r="G52" s="5" t="s">
        <v>234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_USHU_LT_Clay_Group</v>
      </c>
      <c r="B53" s="5" t="s">
        <v>180</v>
      </c>
      <c r="C53" s="5" t="s">
        <v>182</v>
      </c>
      <c r="D53" s="5" t="s">
        <v>187</v>
      </c>
      <c r="E53" s="5" t="s">
        <v>188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_USHU_NT_Clay_Group</v>
      </c>
      <c r="B54" s="5" t="s">
        <v>217</v>
      </c>
      <c r="C54" s="5" t="s">
        <v>218</v>
      </c>
      <c r="D54" s="5" t="s">
        <v>223</v>
      </c>
      <c r="E54" s="5" t="s">
        <v>224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_USHU_LT_Clay21st_Mort_Group</v>
      </c>
      <c r="B55" s="5" t="s">
        <v>182</v>
      </c>
      <c r="C55" s="5" t="s">
        <v>188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_USHU_NT_Clay21stMort_Group</v>
      </c>
      <c r="B56" s="5" t="s">
        <v>218</v>
      </c>
      <c r="C56" s="5" t="s">
        <v>224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_USHU_LT_ClayHomes_Group</v>
      </c>
      <c r="B57" s="5" t="s">
        <v>180</v>
      </c>
      <c r="C57" s="5" t="s">
        <v>187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_USHU_NT_ClayHomes_Group</v>
      </c>
      <c r="B58" s="5" t="s">
        <v>217</v>
      </c>
      <c r="C58" s="5" t="s">
        <v>223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_Clay_NT_All_Peril_Group</v>
      </c>
      <c r="B59" s="5" t="s">
        <v>30</v>
      </c>
      <c r="C59" s="5" t="s">
        <v>33</v>
      </c>
      <c r="D59" s="5" t="s">
        <v>41</v>
      </c>
      <c r="E59" s="5" t="s">
        <v>42</v>
      </c>
      <c r="F59" s="5" t="s">
        <v>195</v>
      </c>
      <c r="G59" s="5" t="s">
        <v>198</v>
      </c>
      <c r="H59" s="5" t="s">
        <v>217</v>
      </c>
      <c r="I59" s="5" t="s">
        <v>218</v>
      </c>
      <c r="J59" s="5" t="s">
        <v>223</v>
      </c>
      <c r="K59" s="5" t="s">
        <v>224</v>
      </c>
      <c r="L59" s="5" t="s">
        <v>231</v>
      </c>
      <c r="M59" s="5" t="s">
        <v>233</v>
      </c>
      <c r="N59" s="5" t="s">
        <v>88</v>
      </c>
      <c r="O59" s="5" t="s">
        <v>90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_Clay_NT_All_PerilxWFIF_Group</v>
      </c>
      <c r="B60" s="5" t="s">
        <v>30</v>
      </c>
      <c r="C60" s="5" t="s">
        <v>33</v>
      </c>
      <c r="D60" s="5" t="s">
        <v>41</v>
      </c>
      <c r="E60" s="5" t="s">
        <v>42</v>
      </c>
      <c r="F60" s="5" t="s">
        <v>195</v>
      </c>
      <c r="G60" s="5" t="s">
        <v>198</v>
      </c>
      <c r="H60" s="5" t="s">
        <v>217</v>
      </c>
      <c r="I60" s="5" t="s">
        <v>218</v>
      </c>
      <c r="J60" s="5" t="s">
        <v>223</v>
      </c>
      <c r="K60" s="5" t="s">
        <v>224</v>
      </c>
      <c r="L60" s="5" t="s">
        <v>231</v>
      </c>
      <c r="M60" s="5" t="s">
        <v>233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_Clay21st_Mort_NT_All_Peril_Group</v>
      </c>
      <c r="B61" s="5" t="s">
        <v>33</v>
      </c>
      <c r="C61" s="5" t="s">
        <v>42</v>
      </c>
      <c r="D61" s="5" t="s">
        <v>198</v>
      </c>
      <c r="E61" s="5" t="s">
        <v>218</v>
      </c>
      <c r="F61" s="5" t="s">
        <v>224</v>
      </c>
      <c r="G61" s="5" t="s">
        <v>233</v>
      </c>
      <c r="H61" s="5" t="s">
        <v>90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_Clay21st_Mort_NT_All_PerilxWFIF_Group</v>
      </c>
      <c r="B62" s="5" t="s">
        <v>33</v>
      </c>
      <c r="C62" s="5" t="s">
        <v>42</v>
      </c>
      <c r="D62" s="5" t="s">
        <v>198</v>
      </c>
      <c r="E62" s="5" t="s">
        <v>218</v>
      </c>
      <c r="F62" s="5" t="s">
        <v>224</v>
      </c>
      <c r="G62" s="5" t="s">
        <v>233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_ClayHomes_NT_All_Peril_Group</v>
      </c>
      <c r="B63" s="5" t="s">
        <v>30</v>
      </c>
      <c r="C63" s="5" t="s">
        <v>41</v>
      </c>
      <c r="D63" s="5" t="s">
        <v>195</v>
      </c>
      <c r="E63" s="5" t="s">
        <v>217</v>
      </c>
      <c r="F63" s="5" t="s">
        <v>223</v>
      </c>
      <c r="G63" s="5" t="s">
        <v>231</v>
      </c>
      <c r="H63" s="5" t="s">
        <v>88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_ClayHomes_NT_All_PerilxWFIF_Group</v>
      </c>
      <c r="B64" s="5" t="s">
        <v>30</v>
      </c>
      <c r="C64" s="5" t="s">
        <v>41</v>
      </c>
      <c r="D64" s="5" t="s">
        <v>195</v>
      </c>
      <c r="E64" s="5" t="s">
        <v>217</v>
      </c>
      <c r="F64" s="5" t="s">
        <v>223</v>
      </c>
      <c r="G64" s="5" t="s">
        <v>231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_Clay_LT_All_Peril_Group</v>
      </c>
      <c r="B65" s="5" t="s">
        <v>30</v>
      </c>
      <c r="C65" s="5" t="s">
        <v>33</v>
      </c>
      <c r="D65" s="5" t="s">
        <v>41</v>
      </c>
      <c r="E65" s="5" t="s">
        <v>42</v>
      </c>
      <c r="F65" s="5" t="s">
        <v>180</v>
      </c>
      <c r="G65" s="5" t="s">
        <v>182</v>
      </c>
      <c r="H65" s="5" t="s">
        <v>187</v>
      </c>
      <c r="I65" s="5" t="s">
        <v>188</v>
      </c>
      <c r="J65" s="5" t="s">
        <v>195</v>
      </c>
      <c r="K65" s="5" t="s">
        <v>198</v>
      </c>
      <c r="L65" s="5" t="s">
        <v>231</v>
      </c>
      <c r="M65" s="5" t="s">
        <v>233</v>
      </c>
      <c r="N65" s="5" t="s">
        <v>88</v>
      </c>
      <c r="O65" s="5" t="s">
        <v>90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_Clay_LT_All_PerilxWFIF_Group</v>
      </c>
      <c r="B66" s="5" t="s">
        <v>30</v>
      </c>
      <c r="C66" s="5" t="s">
        <v>33</v>
      </c>
      <c r="D66" s="5" t="s">
        <v>41</v>
      </c>
      <c r="E66" s="5" t="s">
        <v>42</v>
      </c>
      <c r="F66" s="5" t="s">
        <v>180</v>
      </c>
      <c r="G66" s="5" t="s">
        <v>182</v>
      </c>
      <c r="H66" s="5" t="s">
        <v>187</v>
      </c>
      <c r="I66" s="5" t="s">
        <v>188</v>
      </c>
      <c r="J66" s="5" t="s">
        <v>195</v>
      </c>
      <c r="K66" s="5" t="s">
        <v>198</v>
      </c>
      <c r="L66" s="5" t="s">
        <v>231</v>
      </c>
      <c r="M66" s="5" t="s">
        <v>233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_Clay21st_Mort_LT_All_Peril_Group</v>
      </c>
      <c r="B67" s="5" t="s">
        <v>33</v>
      </c>
      <c r="C67" s="5" t="s">
        <v>42</v>
      </c>
      <c r="D67" s="5" t="s">
        <v>182</v>
      </c>
      <c r="E67" s="5" t="s">
        <v>188</v>
      </c>
      <c r="F67" s="5" t="s">
        <v>198</v>
      </c>
      <c r="G67" s="5" t="s">
        <v>233</v>
      </c>
      <c r="H67" s="5" t="s">
        <v>90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_Clay21st_Mort_LT_All_PerilxWFIF_Group</v>
      </c>
      <c r="B68" s="5" t="s">
        <v>33</v>
      </c>
      <c r="C68" s="5" t="s">
        <v>42</v>
      </c>
      <c r="D68" s="5" t="s">
        <v>182</v>
      </c>
      <c r="E68" s="5" t="s">
        <v>188</v>
      </c>
      <c r="F68" s="5" t="s">
        <v>198</v>
      </c>
      <c r="G68" s="5" t="s">
        <v>233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_ClayHomes_LT_All_Peril_Group</v>
      </c>
      <c r="B69" s="5" t="s">
        <v>30</v>
      </c>
      <c r="C69" s="5" t="s">
        <v>41</v>
      </c>
      <c r="D69" s="5" t="s">
        <v>180</v>
      </c>
      <c r="E69" s="5" t="s">
        <v>187</v>
      </c>
      <c r="F69" s="5" t="s">
        <v>195</v>
      </c>
      <c r="G69" s="5" t="s">
        <v>231</v>
      </c>
      <c r="H69" s="5" t="s">
        <v>88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_ClayHomes_LT_All_PerilxWFIF_Group</v>
      </c>
      <c r="B70" s="5" t="s">
        <v>30</v>
      </c>
      <c r="C70" s="5" t="s">
        <v>41</v>
      </c>
      <c r="D70" s="5" t="s">
        <v>180</v>
      </c>
      <c r="E70" s="5" t="s">
        <v>187</v>
      </c>
      <c r="F70" s="5" t="s">
        <v>195</v>
      </c>
      <c r="G70" s="5" t="s">
        <v>231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_USFF_Clay_Group</v>
      </c>
      <c r="B71" s="5" t="s">
        <v>41</v>
      </c>
      <c r="C71" s="5" t="s">
        <v>42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_USST_Clay_Group</v>
      </c>
      <c r="B72" s="5" t="s">
        <v>195</v>
      </c>
      <c r="C72" s="5" t="s">
        <v>198</v>
      </c>
      <c r="D72" s="5" t="s">
        <v>231</v>
      </c>
      <c r="E72" s="5" t="s">
        <v>233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_USEQ_Clay_Group</v>
      </c>
      <c r="B73" s="5" t="s">
        <v>33</v>
      </c>
      <c r="C73" s="5" t="s">
        <v>30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_USWF_Clay_Group</v>
      </c>
      <c r="B74" s="5" t="s">
        <v>90</v>
      </c>
      <c r="C74" s="5" t="s">
        <v>88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_USFL_LT_FloodSolutions_Group</v>
      </c>
      <c r="B75" s="5" t="s">
        <v>174</v>
      </c>
      <c r="C75" s="5" t="s">
        <v>176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_USFL_NT_FloodSolutions_Group</v>
      </c>
      <c r="B76" s="5" t="s">
        <v>212</v>
      </c>
      <c r="C76" s="5" t="s">
        <v>214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_USFL_LT_Other_Group</v>
      </c>
      <c r="B77" s="5" t="s">
        <v>169</v>
      </c>
      <c r="C77" s="5" t="s">
        <v>171</v>
      </c>
      <c r="D77" s="5" t="s">
        <v>172</v>
      </c>
      <c r="E77" s="5" t="s">
        <v>173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_USFL_NT_Other_Group</v>
      </c>
      <c r="B78" s="5" t="s">
        <v>207</v>
      </c>
      <c r="C78" s="5" t="s">
        <v>209</v>
      </c>
      <c r="D78" s="5" t="s">
        <v>210</v>
      </c>
      <c r="E78" s="5" t="s">
        <v>211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_USFL_LT_TotalFlood_Group</v>
      </c>
      <c r="B79" s="5" t="s">
        <v>169</v>
      </c>
      <c r="C79" s="5" t="s">
        <v>171</v>
      </c>
      <c r="D79" s="5" t="s">
        <v>172</v>
      </c>
      <c r="E79" s="5" t="s">
        <v>173</v>
      </c>
      <c r="F79" s="5" t="s">
        <v>174</v>
      </c>
      <c r="G79" s="5" t="s">
        <v>176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_USFL_NT_TotalFlood_Group</v>
      </c>
      <c r="B80" s="5" t="s">
        <v>207</v>
      </c>
      <c r="C80" s="5" t="s">
        <v>209</v>
      </c>
      <c r="D80" s="5" t="s">
        <v>210</v>
      </c>
      <c r="E80" s="5" t="s">
        <v>211</v>
      </c>
      <c r="F80" s="5" t="s">
        <v>212</v>
      </c>
      <c r="G80" s="5" t="s">
        <v>214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_USST_Condo_Group</v>
      </c>
      <c r="B81" s="5" t="s">
        <v>201</v>
      </c>
      <c r="C81" s="5" t="s">
        <v>236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_USST_Choice_First_Select_Group</v>
      </c>
      <c r="B82" s="5" t="s">
        <v>200</v>
      </c>
      <c r="C82" s="5" t="s">
        <v>235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_USST_Manufactured_Housing_Group</v>
      </c>
      <c r="B83" s="5" t="s">
        <v>203</v>
      </c>
      <c r="C83" s="5" t="s">
        <v>238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_USST_Geico_HIP1_Group</v>
      </c>
      <c r="B84" s="5" t="s">
        <v>205</v>
      </c>
      <c r="C84" s="5" t="s">
        <v>240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_USST_LenderPlaced_Group</v>
      </c>
      <c r="B85" s="5" t="s">
        <v>206</v>
      </c>
      <c r="C85" s="5" t="s">
        <v>241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_USST_Other_Group</v>
      </c>
      <c r="B86" s="5" t="s">
        <v>199</v>
      </c>
      <c r="C86" s="5" t="s">
        <v>234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_USST_Clay_Homes_Group</v>
      </c>
      <c r="B87" s="5" t="s">
        <v>195</v>
      </c>
      <c r="C87" s="5" t="s">
        <v>231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_USST_Clay_21st_Group</v>
      </c>
      <c r="B88" s="5" t="s">
        <v>198</v>
      </c>
      <c r="C88" s="5" t="s">
        <v>233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_USST_Renters_Group</v>
      </c>
      <c r="B89" s="5" t="s">
        <v>202</v>
      </c>
      <c r="C89" s="5" t="s">
        <v>237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_LT_USAP_Group</v>
      </c>
      <c r="B90" s="4" t="s">
        <v>158</v>
      </c>
      <c r="C90" s="4" t="str">
        <f>_xlfn.CONCAT(Metadata!$B$1,"_LT_USHU_Group")</f>
        <v>_LT_USHU_Group</v>
      </c>
      <c r="D90" s="4" t="str">
        <f>_xlfn.CONCAT(Metadata!$B$1,"_USEQ_Group")</f>
        <v>_USEQ_Group</v>
      </c>
      <c r="E90" s="4" t="str">
        <f>_xlfn.CONCAT(Metadata!$B$1,"_USFF_Group")</f>
        <v>_USFF_Group</v>
      </c>
      <c r="F90" s="4" t="str">
        <f>_xlfn.CONCAT(Metadata!$B$1,"_USST_Group")</f>
        <v>_USST_Group</v>
      </c>
      <c r="G90" s="4" t="str">
        <f>_xlfn.CONCAT(Metadata!$B$1, "_USWF_Group")</f>
        <v>_USWF_Group</v>
      </c>
      <c r="H90" s="4" t="s">
        <v>29</v>
      </c>
      <c r="I90" s="4" t="str">
        <f>_xlfn.CONCAT(Metadata!$B$1, "_USFL_LT_TotalFlood_Group")</f>
        <v>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_LT_USAPxWFIF_Group</v>
      </c>
      <c r="B91" s="4" t="s">
        <v>158</v>
      </c>
      <c r="C91" s="4" t="str">
        <f>_xlfn.CONCAT(Metadata!$B$1,"_LT_USHU_Group")</f>
        <v>_LT_USHU_Group</v>
      </c>
      <c r="D91" s="4" t="str">
        <f>_xlfn.CONCAT(Metadata!$B$1,"_USEQ_Group")</f>
        <v>_USEQ_Group</v>
      </c>
      <c r="E91" s="4" t="str">
        <f>_xlfn.CONCAT(Metadata!$B$1,"_USFF_Group")</f>
        <v>_USFF_Group</v>
      </c>
      <c r="F91" s="4" t="str">
        <f>_xlfn.CONCAT(Metadata!$B$1,"_USST_Group")</f>
        <v>_USST_Group</v>
      </c>
      <c r="G91" s="4" t="s">
        <v>29</v>
      </c>
      <c r="H91" s="4" t="str">
        <f>_xlfn.CONCAT(Metadata!$B$1, "_USFL_LT_TotalFlood_Group")</f>
        <v>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_NT_USAP_Group</v>
      </c>
      <c r="B92" s="4" t="s">
        <v>162</v>
      </c>
      <c r="C92" s="4" t="str">
        <f>_xlfn.CONCAT(Metadata!$B$1,"_NT_USHU_Group")</f>
        <v>_NT_USHU_Group</v>
      </c>
      <c r="D92" s="4" t="str">
        <f>_xlfn.CONCAT(Metadata!$B$1,"_USEQ_Group")</f>
        <v>_USEQ_Group</v>
      </c>
      <c r="E92" s="4" t="str">
        <f>_xlfn.CONCAT(Metadata!$B$1,"_USFF_Group")</f>
        <v>_USFF_Group</v>
      </c>
      <c r="F92" s="4" t="str">
        <f>_xlfn.CONCAT(Metadata!$B$1,"_USST_Group")</f>
        <v>_USST_Group</v>
      </c>
      <c r="G92" s="4" t="str">
        <f>_xlfn.CONCAT(Metadata!$B$1, "_USWF_Group")</f>
        <v>_USWF_Group</v>
      </c>
      <c r="H92" s="4" t="s">
        <v>29</v>
      </c>
      <c r="I92" s="4" t="str">
        <f>_xlfn.CONCAT(Metadata!$B$1, "_USFL_NT_TotalFlood_Group")</f>
        <v>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_NT_USAPxWFIF_Group</v>
      </c>
      <c r="B93" s="4" t="s">
        <v>162</v>
      </c>
      <c r="C93" s="4" t="str">
        <f>_xlfn.CONCAT(Metadata!$B$1,"_NT_USHU_Group")</f>
        <v>_NT_USHU_Group</v>
      </c>
      <c r="D93" s="4" t="str">
        <f>_xlfn.CONCAT(Metadata!$B$1,"_USEQ_Group")</f>
        <v>_USEQ_Group</v>
      </c>
      <c r="E93" s="4" t="str">
        <f>_xlfn.CONCAT(Metadata!$B$1,"_USFF_Group")</f>
        <v>_USFF_Group</v>
      </c>
      <c r="F93" s="4" t="str">
        <f>_xlfn.CONCAT(Metadata!$B$1,"_USST_Group")</f>
        <v>_USST_Group</v>
      </c>
      <c r="G93" s="4" t="s">
        <v>29</v>
      </c>
      <c r="H93" s="4" t="str">
        <f>_xlfn.CONCAT(Metadata!$B$1, "_USFL_NT_TotalFlood_Group")</f>
        <v>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_LT_USAPxCB_Group</v>
      </c>
      <c r="B94" s="4" t="str">
        <f>_xlfn.CONCAT(Metadata!$B$1,"_LT_USHU_Group")</f>
        <v>_LT_USHU_Group</v>
      </c>
      <c r="C94" s="4" t="str">
        <f>_xlfn.CONCAT(Metadata!$B$1,"_USEQ_Group")</f>
        <v>_USEQ_Group</v>
      </c>
      <c r="D94" s="4" t="str">
        <f>_xlfn.CONCAT(Metadata!$B$1,"_USFF_Group")</f>
        <v>_USFF_Group</v>
      </c>
      <c r="E94" s="4" t="str">
        <f>_xlfn.CONCAT(Metadata!$B$1,"_USST_Group")</f>
        <v>_USST_Group</v>
      </c>
      <c r="F94" s="4" t="str">
        <f>_xlfn.CONCAT(Metadata!$B$1,"_USWF_Group")</f>
        <v>_USWF_Group</v>
      </c>
      <c r="G94" s="4" t="str">
        <f>_xlfn.CONCAT(Metadata!$B$1, "_USFL_LT_TotalFlood_Group")</f>
        <v>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_LT_USAPxWFIFxCB_Group</v>
      </c>
      <c r="B95" s="4" t="str">
        <f>_xlfn.CONCAT(Metadata!$B$1,"_LT_USHU_Group")</f>
        <v>_LT_USHU_Group</v>
      </c>
      <c r="C95" s="4" t="str">
        <f>_xlfn.CONCAT(Metadata!$B$1,"_USEQ_Group")</f>
        <v>_USEQ_Group</v>
      </c>
      <c r="D95" s="4" t="str">
        <f>_xlfn.CONCAT(Metadata!$B$1,"_USFF_Group")</f>
        <v>_USFF_Group</v>
      </c>
      <c r="E95" s="4" t="str">
        <f>_xlfn.CONCAT(Metadata!$B$1,"_USST_Group")</f>
        <v>_USST_Group</v>
      </c>
      <c r="F95" s="4" t="str">
        <f>_xlfn.CONCAT(Metadata!$B$1,"_USFL_LT_TotalFlood_Group")</f>
        <v>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_NT_USAPxCB_Group</v>
      </c>
      <c r="B96" s="4" t="str">
        <f>_xlfn.CONCAT(Metadata!$B$1,"_NT_USHU_Group")</f>
        <v>_NT_USHU_Group</v>
      </c>
      <c r="C96" s="4" t="str">
        <f>_xlfn.CONCAT(Metadata!$B$1,"_USEQ_Group")</f>
        <v>_USEQ_Group</v>
      </c>
      <c r="D96" s="4" t="str">
        <f>_xlfn.CONCAT(Metadata!$B$1,"_USFF_Group")</f>
        <v>_USFF_Group</v>
      </c>
      <c r="E96" s="4" t="str">
        <f>_xlfn.CONCAT(Metadata!$B$1,"_USST_Group")</f>
        <v>_USST_Group</v>
      </c>
      <c r="F96" s="4" t="str">
        <f>_xlfn.CONCAT(Metadata!$B$1,"_USWF_Group")</f>
        <v>_USWF_Group</v>
      </c>
      <c r="G96" s="4" t="str">
        <f>_xlfn.CONCAT(Metadata!$B$1, "_USFL_NT_TotalFlood_Group")</f>
        <v>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_NT_USAPxWFIFxCB_Group</v>
      </c>
      <c r="B97" s="4" t="str">
        <f>_xlfn.CONCAT(Metadata!$B$1,"_NT_USHU_Group")</f>
        <v>_NT_USHU_Group</v>
      </c>
      <c r="C97" s="4" t="str">
        <f>_xlfn.CONCAT(Metadata!$B$1,"_USEQ_Group")</f>
        <v>_USEQ_Group</v>
      </c>
      <c r="D97" s="4" t="str">
        <f>_xlfn.CONCAT(Metadata!$B$1,"_USFF_Group")</f>
        <v>_USFF_Group</v>
      </c>
      <c r="E97" s="4" t="str">
        <f>_xlfn.CONCAT(Metadata!$B$1,"_USST_Group")</f>
        <v>_USST_Group</v>
      </c>
      <c r="F97" s="4" t="str">
        <f>_xlfn.CONCAT(Metadata!$B$1,"_USFL_NT_TotalFlood_Group")</f>
        <v>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144</v>
      </c>
      <c r="B1" s="1" t="s">
        <v>293</v>
      </c>
      <c r="C1" s="1" t="s">
        <v>294</v>
      </c>
    </row>
    <row r="2" spans="1:3">
      <c r="A2" s="3" t="s">
        <v>158</v>
      </c>
      <c r="B2" s="3" t="s">
        <v>295</v>
      </c>
      <c r="C2" s="3" t="s">
        <v>296</v>
      </c>
    </row>
    <row r="3" spans="1:3">
      <c r="A3" s="3" t="s">
        <v>158</v>
      </c>
      <c r="B3" s="3" t="s">
        <v>295</v>
      </c>
      <c r="C3" s="3" t="s">
        <v>297</v>
      </c>
    </row>
    <row r="4" spans="1:3">
      <c r="A4" s="3" t="s">
        <v>162</v>
      </c>
      <c r="B4" s="3" t="s">
        <v>298</v>
      </c>
      <c r="C4" s="3" t="s">
        <v>296</v>
      </c>
    </row>
    <row r="5" spans="1:3">
      <c r="A5" s="3" t="s">
        <v>162</v>
      </c>
      <c r="B5" s="3" t="s">
        <v>298</v>
      </c>
      <c r="C5" s="3" t="s">
        <v>297</v>
      </c>
    </row>
    <row r="6" spans="1:3">
      <c r="A6" s="3" t="s">
        <v>29</v>
      </c>
      <c r="B6" s="3" t="s">
        <v>29</v>
      </c>
      <c r="C6" s="3" t="s">
        <v>296</v>
      </c>
    </row>
    <row r="7" spans="1:3">
      <c r="A7" s="3" t="s">
        <v>29</v>
      </c>
      <c r="B7" s="3" t="s">
        <v>29</v>
      </c>
      <c r="C7" s="3" t="s">
        <v>297</v>
      </c>
    </row>
    <row r="8" spans="1:3">
      <c r="A8" s="3" t="s">
        <v>30</v>
      </c>
      <c r="B8" s="3" t="s">
        <v>31</v>
      </c>
      <c r="C8" s="3" t="s">
        <v>299</v>
      </c>
    </row>
    <row r="9" spans="1:3">
      <c r="A9" s="3" t="s">
        <v>33</v>
      </c>
      <c r="B9" s="3" t="s">
        <v>31</v>
      </c>
      <c r="C9" s="3" t="s">
        <v>300</v>
      </c>
    </row>
    <row r="10" spans="1:3">
      <c r="A10" s="3" t="s">
        <v>34</v>
      </c>
      <c r="B10" s="3" t="s">
        <v>31</v>
      </c>
      <c r="C10" s="3" t="s">
        <v>301</v>
      </c>
    </row>
    <row r="11" spans="1:3">
      <c r="A11" s="3" t="s">
        <v>35</v>
      </c>
      <c r="B11" s="3" t="s">
        <v>31</v>
      </c>
      <c r="C11" s="3" t="s">
        <v>302</v>
      </c>
    </row>
    <row r="12" spans="1:3">
      <c r="A12" s="3" t="s">
        <v>36</v>
      </c>
      <c r="B12" s="3" t="s">
        <v>31</v>
      </c>
      <c r="C12" s="3" t="s">
        <v>303</v>
      </c>
    </row>
    <row r="13" spans="1:3">
      <c r="A13" s="3" t="s">
        <v>37</v>
      </c>
      <c r="B13" s="3" t="s">
        <v>31</v>
      </c>
      <c r="C13" s="3" t="s">
        <v>304</v>
      </c>
    </row>
    <row r="14" spans="1:3">
      <c r="A14" s="3" t="s">
        <v>38</v>
      </c>
      <c r="B14" s="3" t="s">
        <v>39</v>
      </c>
      <c r="C14" s="3" t="s">
        <v>305</v>
      </c>
    </row>
    <row r="15" spans="1:3">
      <c r="A15" s="3" t="s">
        <v>40</v>
      </c>
      <c r="B15" s="3" t="s">
        <v>39</v>
      </c>
      <c r="C15" s="3" t="s">
        <v>306</v>
      </c>
    </row>
    <row r="16" spans="1:3">
      <c r="A16" s="3" t="s">
        <v>41</v>
      </c>
      <c r="B16" s="3" t="s">
        <v>39</v>
      </c>
      <c r="C16" s="3" t="s">
        <v>299</v>
      </c>
    </row>
    <row r="17" spans="1:3">
      <c r="A17" s="3" t="s">
        <v>42</v>
      </c>
      <c r="B17" s="3" t="s">
        <v>39</v>
      </c>
      <c r="C17" s="3" t="s">
        <v>300</v>
      </c>
    </row>
    <row r="18" spans="1:3">
      <c r="A18" s="3" t="s">
        <v>43</v>
      </c>
      <c r="B18" s="3" t="s">
        <v>39</v>
      </c>
      <c r="C18" s="3" t="s">
        <v>307</v>
      </c>
    </row>
    <row r="19" spans="1:3">
      <c r="A19" s="3" t="s">
        <v>44</v>
      </c>
      <c r="B19" s="3" t="s">
        <v>39</v>
      </c>
      <c r="C19" s="3" t="s">
        <v>301</v>
      </c>
    </row>
    <row r="20" spans="1:3">
      <c r="A20" s="3" t="s">
        <v>45</v>
      </c>
      <c r="B20" s="3" t="s">
        <v>39</v>
      </c>
      <c r="C20" s="3" t="s">
        <v>302</v>
      </c>
    </row>
    <row r="21" spans="1:3">
      <c r="A21" s="3" t="s">
        <v>46</v>
      </c>
      <c r="B21" s="3" t="s">
        <v>39</v>
      </c>
      <c r="C21" s="3" t="s">
        <v>303</v>
      </c>
    </row>
    <row r="22" spans="1:3">
      <c r="A22" s="3" t="s">
        <v>47</v>
      </c>
      <c r="B22" s="3" t="s">
        <v>39</v>
      </c>
      <c r="C22" s="3" t="s">
        <v>304</v>
      </c>
    </row>
    <row r="23" spans="1:3">
      <c r="A23" s="3" t="s">
        <v>48</v>
      </c>
      <c r="B23" s="3" t="s">
        <v>39</v>
      </c>
      <c r="C23" s="3" t="s">
        <v>296</v>
      </c>
    </row>
    <row r="24" spans="1:3">
      <c r="A24" s="3" t="s">
        <v>169</v>
      </c>
      <c r="B24" s="3" t="s">
        <v>308</v>
      </c>
      <c r="C24" s="3" t="s">
        <v>307</v>
      </c>
    </row>
    <row r="25" spans="1:3">
      <c r="A25" s="3" t="s">
        <v>171</v>
      </c>
      <c r="B25" s="3" t="s">
        <v>308</v>
      </c>
      <c r="C25" s="3" t="s">
        <v>303</v>
      </c>
    </row>
    <row r="26" spans="1:3">
      <c r="A26" s="3" t="s">
        <v>172</v>
      </c>
      <c r="B26" s="3" t="s">
        <v>308</v>
      </c>
      <c r="C26" s="3" t="s">
        <v>304</v>
      </c>
    </row>
    <row r="27" spans="1:3">
      <c r="A27" s="3" t="s">
        <v>173</v>
      </c>
      <c r="B27" s="3" t="s">
        <v>308</v>
      </c>
      <c r="C27" s="3" t="s">
        <v>296</v>
      </c>
    </row>
    <row r="28" spans="1:3">
      <c r="A28" s="3" t="s">
        <v>174</v>
      </c>
      <c r="B28" s="3" t="s">
        <v>308</v>
      </c>
      <c r="C28" s="3" t="s">
        <v>309</v>
      </c>
    </row>
    <row r="29" spans="1:3">
      <c r="A29" s="3" t="s">
        <v>174</v>
      </c>
      <c r="B29" s="3" t="s">
        <v>310</v>
      </c>
      <c r="C29" s="3" t="s">
        <v>309</v>
      </c>
    </row>
    <row r="30" spans="1:3">
      <c r="A30" s="3" t="s">
        <v>174</v>
      </c>
      <c r="B30" s="3" t="s">
        <v>311</v>
      </c>
      <c r="C30" s="3" t="s">
        <v>309</v>
      </c>
    </row>
    <row r="31" spans="1:3">
      <c r="A31" s="3" t="s">
        <v>174</v>
      </c>
      <c r="B31" s="3" t="s">
        <v>312</v>
      </c>
      <c r="C31" s="3" t="s">
        <v>309</v>
      </c>
    </row>
    <row r="32" spans="1:3">
      <c r="A32" s="3" t="s">
        <v>174</v>
      </c>
      <c r="B32" s="3" t="s">
        <v>313</v>
      </c>
      <c r="C32" s="3" t="s">
        <v>309</v>
      </c>
    </row>
    <row r="33" spans="1:3">
      <c r="A33" s="3" t="s">
        <v>176</v>
      </c>
      <c r="B33" s="3" t="s">
        <v>308</v>
      </c>
      <c r="C33" s="3" t="s">
        <v>314</v>
      </c>
    </row>
    <row r="34" spans="1:3">
      <c r="A34" s="3" t="s">
        <v>176</v>
      </c>
      <c r="B34" s="3" t="s">
        <v>310</v>
      </c>
      <c r="C34" s="3" t="s">
        <v>314</v>
      </c>
    </row>
    <row r="35" spans="1:3">
      <c r="A35" s="3" t="s">
        <v>176</v>
      </c>
      <c r="B35" s="3" t="s">
        <v>311</v>
      </c>
      <c r="C35" s="3" t="s">
        <v>314</v>
      </c>
    </row>
    <row r="36" spans="1:3">
      <c r="A36" s="3" t="s">
        <v>176</v>
      </c>
      <c r="B36" s="3" t="s">
        <v>312</v>
      </c>
      <c r="C36" s="3" t="s">
        <v>314</v>
      </c>
    </row>
    <row r="37" spans="1:3">
      <c r="A37" s="3" t="s">
        <v>176</v>
      </c>
      <c r="B37" s="3" t="s">
        <v>313</v>
      </c>
      <c r="C37" s="3" t="s">
        <v>314</v>
      </c>
    </row>
    <row r="38" spans="1:3">
      <c r="A38" s="3" t="s">
        <v>177</v>
      </c>
      <c r="B38" s="3" t="s">
        <v>315</v>
      </c>
      <c r="C38" s="3" t="s">
        <v>305</v>
      </c>
    </row>
    <row r="39" spans="1:3">
      <c r="A39" s="3" t="s">
        <v>179</v>
      </c>
      <c r="B39" s="3" t="s">
        <v>315</v>
      </c>
      <c r="C39" s="3" t="s">
        <v>306</v>
      </c>
    </row>
    <row r="40" spans="1:3">
      <c r="A40" s="3" t="s">
        <v>180</v>
      </c>
    </row>
    <row r="41" spans="1:3">
      <c r="A41" s="3" t="s">
        <v>182</v>
      </c>
    </row>
    <row r="42" spans="1:3">
      <c r="A42" s="3" t="s">
        <v>183</v>
      </c>
    </row>
    <row r="43" spans="1:3">
      <c r="A43" s="3" t="s">
        <v>184</v>
      </c>
    </row>
    <row r="44" spans="1:3">
      <c r="A44" s="3" t="s">
        <v>185</v>
      </c>
    </row>
    <row r="45" spans="1:3">
      <c r="A45" s="3" t="s">
        <v>186</v>
      </c>
    </row>
    <row r="46" spans="1:3">
      <c r="A46" s="3" t="s">
        <v>187</v>
      </c>
    </row>
    <row r="47" spans="1:3">
      <c r="A47" s="3" t="s">
        <v>188</v>
      </c>
    </row>
    <row r="48" spans="1:3">
      <c r="A48" s="3" t="s">
        <v>189</v>
      </c>
    </row>
    <row r="49" spans="1:3">
      <c r="A49" s="3" t="s">
        <v>190</v>
      </c>
      <c r="B49" s="3" t="s">
        <v>315</v>
      </c>
      <c r="C49" s="3" t="s">
        <v>301</v>
      </c>
    </row>
    <row r="50" spans="1:3">
      <c r="A50" s="3" t="s">
        <v>191</v>
      </c>
      <c r="B50" s="3" t="s">
        <v>315</v>
      </c>
      <c r="C50" s="3" t="s">
        <v>302</v>
      </c>
    </row>
    <row r="51" spans="1:3">
      <c r="A51" s="3" t="s">
        <v>192</v>
      </c>
    </row>
    <row r="52" spans="1:3">
      <c r="A52" s="3" t="s">
        <v>193</v>
      </c>
    </row>
    <row r="53" spans="1:3">
      <c r="A53" s="3" t="s">
        <v>194</v>
      </c>
    </row>
    <row r="54" spans="1:3">
      <c r="A54" s="3" t="s">
        <v>195</v>
      </c>
    </row>
    <row r="55" spans="1:3">
      <c r="A55" s="3" t="s">
        <v>198</v>
      </c>
    </row>
    <row r="56" spans="1:3">
      <c r="A56" s="3" t="s">
        <v>199</v>
      </c>
    </row>
    <row r="57" spans="1:3">
      <c r="A57" s="3" t="s">
        <v>200</v>
      </c>
    </row>
    <row r="58" spans="1:3">
      <c r="A58" s="3" t="s">
        <v>201</v>
      </c>
    </row>
    <row r="59" spans="1:3">
      <c r="A59" s="3" t="s">
        <v>202</v>
      </c>
    </row>
    <row r="60" spans="1:3">
      <c r="A60" s="3" t="s">
        <v>203</v>
      </c>
    </row>
    <row r="61" spans="1:3">
      <c r="A61" s="3" t="s">
        <v>204</v>
      </c>
    </row>
    <row r="62" spans="1:3">
      <c r="A62" s="3" t="s">
        <v>205</v>
      </c>
    </row>
    <row r="63" spans="1:3">
      <c r="A63" s="3" t="s">
        <v>206</v>
      </c>
    </row>
    <row r="64" spans="1:3">
      <c r="A64" s="3" t="s">
        <v>88</v>
      </c>
      <c r="B64" s="3" t="s">
        <v>89</v>
      </c>
      <c r="C64" s="3" t="s">
        <v>299</v>
      </c>
    </row>
    <row r="65" spans="1:3">
      <c r="A65" s="3" t="s">
        <v>90</v>
      </c>
      <c r="B65" s="3" t="s">
        <v>89</v>
      </c>
      <c r="C65" s="3" t="s">
        <v>300</v>
      </c>
    </row>
    <row r="66" spans="1:3">
      <c r="A66" s="3" t="s">
        <v>91</v>
      </c>
      <c r="B66" s="3" t="s">
        <v>89</v>
      </c>
      <c r="C66" s="3" t="s">
        <v>307</v>
      </c>
    </row>
    <row r="67" spans="1:3">
      <c r="A67" s="3" t="s">
        <v>92</v>
      </c>
      <c r="B67" s="3" t="s">
        <v>89</v>
      </c>
      <c r="C67" s="3" t="s">
        <v>301</v>
      </c>
    </row>
    <row r="68" spans="1:3">
      <c r="A68" s="3" t="s">
        <v>93</v>
      </c>
      <c r="B68" s="3" t="s">
        <v>89</v>
      </c>
      <c r="C68" s="3" t="s">
        <v>302</v>
      </c>
    </row>
    <row r="69" spans="1:3">
      <c r="A69" s="3" t="s">
        <v>94</v>
      </c>
      <c r="B69" s="3" t="s">
        <v>89</v>
      </c>
      <c r="C69" s="3" t="s">
        <v>303</v>
      </c>
    </row>
    <row r="70" spans="1:3">
      <c r="A70" s="3" t="s">
        <v>95</v>
      </c>
      <c r="B70" s="3" t="s">
        <v>89</v>
      </c>
      <c r="C70" s="3" t="s">
        <v>304</v>
      </c>
    </row>
    <row r="71" spans="1:3">
      <c r="A71" s="3" t="s">
        <v>96</v>
      </c>
      <c r="B71" s="3" t="s">
        <v>89</v>
      </c>
      <c r="C71" s="3" t="s">
        <v>305</v>
      </c>
    </row>
    <row r="72" spans="1:3">
      <c r="A72" s="3" t="s">
        <v>97</v>
      </c>
      <c r="B72" s="3" t="s">
        <v>89</v>
      </c>
      <c r="C72" s="3" t="s">
        <v>306</v>
      </c>
    </row>
    <row r="73" spans="1:3">
      <c r="A73" s="3" t="s">
        <v>98</v>
      </c>
      <c r="B73" s="3" t="s">
        <v>89</v>
      </c>
      <c r="C73" s="3" t="s">
        <v>296</v>
      </c>
    </row>
    <row r="74" spans="1:3">
      <c r="A74" s="3" t="s">
        <v>207</v>
      </c>
      <c r="B74" s="3" t="s">
        <v>316</v>
      </c>
      <c r="C74" s="3" t="s">
        <v>307</v>
      </c>
    </row>
    <row r="75" spans="1:3">
      <c r="A75" s="3" t="s">
        <v>209</v>
      </c>
      <c r="B75" s="3" t="s">
        <v>316</v>
      </c>
      <c r="C75" s="3" t="s">
        <v>303</v>
      </c>
    </row>
    <row r="76" spans="1:3">
      <c r="A76" s="3" t="s">
        <v>210</v>
      </c>
      <c r="B76" s="3" t="s">
        <v>316</v>
      </c>
      <c r="C76" s="3" t="s">
        <v>304</v>
      </c>
    </row>
    <row r="77" spans="1:3">
      <c r="A77" s="3" t="s">
        <v>211</v>
      </c>
      <c r="B77" s="3" t="s">
        <v>316</v>
      </c>
      <c r="C77" s="3" t="s">
        <v>296</v>
      </c>
    </row>
    <row r="78" spans="1:3">
      <c r="A78" s="3" t="s">
        <v>212</v>
      </c>
      <c r="B78" s="3" t="s">
        <v>317</v>
      </c>
      <c r="C78" s="3" t="s">
        <v>309</v>
      </c>
    </row>
    <row r="79" spans="1:3">
      <c r="A79" s="3" t="s">
        <v>212</v>
      </c>
      <c r="B79" s="3" t="s">
        <v>318</v>
      </c>
      <c r="C79" s="3" t="s">
        <v>309</v>
      </c>
    </row>
    <row r="80" spans="1:3">
      <c r="A80" s="3" t="s">
        <v>212</v>
      </c>
      <c r="B80" s="3" t="s">
        <v>319</v>
      </c>
      <c r="C80" s="3" t="s">
        <v>309</v>
      </c>
    </row>
    <row r="81" spans="1:3">
      <c r="A81" s="3" t="s">
        <v>212</v>
      </c>
      <c r="B81" s="3" t="s">
        <v>320</v>
      </c>
      <c r="C81" s="3" t="s">
        <v>309</v>
      </c>
    </row>
    <row r="82" spans="1:3">
      <c r="A82" s="3" t="s">
        <v>212</v>
      </c>
      <c r="B82" s="3" t="s">
        <v>316</v>
      </c>
      <c r="C82" s="3" t="s">
        <v>309</v>
      </c>
    </row>
    <row r="83" spans="1:3">
      <c r="A83" s="3" t="s">
        <v>214</v>
      </c>
      <c r="B83" s="3" t="s">
        <v>317</v>
      </c>
      <c r="C83" s="3" t="s">
        <v>314</v>
      </c>
    </row>
    <row r="84" spans="1:3">
      <c r="A84" s="3" t="s">
        <v>214</v>
      </c>
      <c r="B84" s="3" t="s">
        <v>318</v>
      </c>
      <c r="C84" s="3" t="s">
        <v>314</v>
      </c>
    </row>
    <row r="85" spans="1:3">
      <c r="A85" s="3" t="s">
        <v>214</v>
      </c>
      <c r="B85" s="3" t="s">
        <v>319</v>
      </c>
      <c r="C85" s="3" t="s">
        <v>314</v>
      </c>
    </row>
    <row r="86" spans="1:3">
      <c r="A86" s="3" t="s">
        <v>214</v>
      </c>
      <c r="B86" s="3" t="s">
        <v>320</v>
      </c>
      <c r="C86" s="3" t="s">
        <v>314</v>
      </c>
    </row>
    <row r="87" spans="1:3">
      <c r="A87" s="3" t="s">
        <v>214</v>
      </c>
      <c r="B87" s="3" t="s">
        <v>316</v>
      </c>
      <c r="C87" s="3" t="s">
        <v>314</v>
      </c>
    </row>
    <row r="88" spans="1:3">
      <c r="A88" s="3" t="s">
        <v>215</v>
      </c>
      <c r="B88" s="3" t="s">
        <v>321</v>
      </c>
      <c r="C88" s="3" t="s">
        <v>305</v>
      </c>
    </row>
    <row r="89" spans="1:3">
      <c r="A89" s="3" t="s">
        <v>216</v>
      </c>
      <c r="B89" s="3" t="s">
        <v>321</v>
      </c>
      <c r="C89" s="3" t="s">
        <v>306</v>
      </c>
    </row>
    <row r="90" spans="1:3">
      <c r="A90" s="3" t="s">
        <v>217</v>
      </c>
    </row>
    <row r="91" spans="1:3">
      <c r="A91" s="3" t="s">
        <v>218</v>
      </c>
    </row>
    <row r="92" spans="1:3">
      <c r="A92" s="3" t="s">
        <v>219</v>
      </c>
    </row>
    <row r="93" spans="1:3">
      <c r="A93" s="3" t="s">
        <v>220</v>
      </c>
    </row>
    <row r="94" spans="1:3">
      <c r="A94" s="3" t="s">
        <v>221</v>
      </c>
    </row>
    <row r="95" spans="1:3">
      <c r="A95" s="3" t="s">
        <v>222</v>
      </c>
    </row>
    <row r="96" spans="1:3">
      <c r="A96" s="3" t="s">
        <v>223</v>
      </c>
    </row>
    <row r="97" spans="1:3">
      <c r="A97" s="3" t="s">
        <v>224</v>
      </c>
    </row>
    <row r="98" spans="1:3">
      <c r="A98" s="3" t="s">
        <v>225</v>
      </c>
    </row>
    <row r="99" spans="1:3">
      <c r="A99" s="3" t="s">
        <v>226</v>
      </c>
      <c r="B99" s="3" t="s">
        <v>321</v>
      </c>
      <c r="C99" s="3" t="s">
        <v>301</v>
      </c>
    </row>
    <row r="100" spans="1:3">
      <c r="A100" s="3" t="s">
        <v>227</v>
      </c>
      <c r="B100" s="3" t="s">
        <v>321</v>
      </c>
      <c r="C100" s="3" t="s">
        <v>302</v>
      </c>
    </row>
    <row r="101" spans="1:3">
      <c r="A101" s="3" t="s">
        <v>228</v>
      </c>
    </row>
    <row r="102" spans="1:3">
      <c r="A102" s="3" t="s">
        <v>229</v>
      </c>
    </row>
    <row r="103" spans="1:3">
      <c r="A103" s="3" t="s">
        <v>230</v>
      </c>
    </row>
    <row r="104" spans="1:3">
      <c r="A104" s="3" t="s">
        <v>231</v>
      </c>
    </row>
    <row r="105" spans="1:3">
      <c r="A105" s="3" t="s">
        <v>233</v>
      </c>
    </row>
    <row r="106" spans="1:3">
      <c r="A106" s="3" t="s">
        <v>234</v>
      </c>
    </row>
    <row r="107" spans="1:3">
      <c r="A107" s="3" t="s">
        <v>235</v>
      </c>
    </row>
    <row r="108" spans="1:3">
      <c r="A108" s="3" t="s">
        <v>236</v>
      </c>
    </row>
    <row r="109" spans="1:3">
      <c r="A109" s="3" t="s">
        <v>237</v>
      </c>
    </row>
    <row r="110" spans="1:3">
      <c r="A110" s="3" t="s">
        <v>238</v>
      </c>
    </row>
    <row r="111" spans="1:3">
      <c r="A111" s="3" t="s">
        <v>239</v>
      </c>
    </row>
    <row r="112" spans="1:3">
      <c r="A112" s="3" t="s">
        <v>240</v>
      </c>
    </row>
    <row r="113" spans="1:3">
      <c r="A113" s="3" t="s">
        <v>241</v>
      </c>
    </row>
    <row r="114" spans="1:3">
      <c r="A114" s="19" t="s">
        <v>537</v>
      </c>
      <c r="B114" s="3" t="s">
        <v>322</v>
      </c>
      <c r="C114" s="3" t="s">
        <v>305</v>
      </c>
    </row>
    <row r="115" spans="1:3">
      <c r="A115" s="3" t="s">
        <v>456</v>
      </c>
      <c r="B115" s="3" t="s">
        <v>315</v>
      </c>
      <c r="C115" s="3" t="s">
        <v>304</v>
      </c>
    </row>
    <row r="116" spans="1:3">
      <c r="A116" s="3" t="s">
        <v>457</v>
      </c>
      <c r="B116" s="3" t="s">
        <v>321</v>
      </c>
      <c r="C116" s="3" t="s">
        <v>304</v>
      </c>
    </row>
    <row r="117" spans="1:3">
      <c r="A117" s="3" t="s">
        <v>458</v>
      </c>
      <c r="B117" s="3" t="s">
        <v>315</v>
      </c>
      <c r="C117" s="3" t="s">
        <v>303</v>
      </c>
    </row>
    <row r="118" spans="1:3">
      <c r="A118" s="3" t="s">
        <v>459</v>
      </c>
      <c r="B118" s="3" t="s">
        <v>321</v>
      </c>
      <c r="C118" s="3" t="s">
        <v>303</v>
      </c>
    </row>
    <row r="119" spans="1:3">
      <c r="A119" s="3" t="s">
        <v>460</v>
      </c>
      <c r="B119" s="3" t="s">
        <v>315</v>
      </c>
      <c r="C119" s="3" t="s">
        <v>307</v>
      </c>
    </row>
    <row r="120" spans="1:3">
      <c r="A120" s="3" t="s">
        <v>461</v>
      </c>
      <c r="B120" s="3" t="s">
        <v>321</v>
      </c>
      <c r="C120" s="3" t="s">
        <v>307</v>
      </c>
    </row>
    <row r="121" spans="1:3">
      <c r="A121" s="3" t="s">
        <v>462</v>
      </c>
      <c r="B121" s="3" t="s">
        <v>315</v>
      </c>
      <c r="C121" s="3" t="s">
        <v>296</v>
      </c>
    </row>
    <row r="122" spans="1:3">
      <c r="A122" s="3" t="s">
        <v>463</v>
      </c>
      <c r="B122" s="3" t="s">
        <v>321</v>
      </c>
      <c r="C122" s="3" t="s">
        <v>296</v>
      </c>
    </row>
    <row r="123" spans="1:3">
      <c r="A123" s="3" t="s">
        <v>464</v>
      </c>
      <c r="B123" s="3" t="s">
        <v>321</v>
      </c>
      <c r="C123" s="3" t="s">
        <v>297</v>
      </c>
    </row>
    <row r="124" spans="1:3">
      <c r="A124" s="3" t="s">
        <v>465</v>
      </c>
      <c r="B124" s="3" t="s">
        <v>315</v>
      </c>
      <c r="C124" s="3" t="s">
        <v>297</v>
      </c>
    </row>
    <row r="125" spans="1:3">
      <c r="A125" s="3" t="s">
        <v>466</v>
      </c>
      <c r="B125" s="3" t="s">
        <v>31</v>
      </c>
      <c r="C125" s="3" t="s">
        <v>297</v>
      </c>
    </row>
    <row r="126" spans="1:3">
      <c r="A126" s="3" t="s">
        <v>467</v>
      </c>
      <c r="B126" s="3" t="s">
        <v>39</v>
      </c>
      <c r="C126" s="3" t="s">
        <v>297</v>
      </c>
    </row>
    <row r="127" spans="1:3">
      <c r="A127" s="3" t="s">
        <v>468</v>
      </c>
      <c r="B127" s="3" t="s">
        <v>89</v>
      </c>
      <c r="C127" s="3" t="s">
        <v>297</v>
      </c>
    </row>
    <row r="128" spans="1:3">
      <c r="A128" s="3" t="s">
        <v>469</v>
      </c>
      <c r="B128" s="3" t="s">
        <v>322</v>
      </c>
      <c r="C128" s="3" t="s">
        <v>297</v>
      </c>
    </row>
    <row r="129" spans="1:3">
      <c r="A129" s="3" t="s">
        <v>470</v>
      </c>
      <c r="B129" s="3" t="s">
        <v>312</v>
      </c>
      <c r="C129" s="3" t="s">
        <v>296</v>
      </c>
    </row>
    <row r="130" spans="1:3">
      <c r="A130" s="3" t="s">
        <v>471</v>
      </c>
      <c r="B130" s="3" t="s">
        <v>313</v>
      </c>
      <c r="C130" s="3" t="s">
        <v>296</v>
      </c>
    </row>
    <row r="131" spans="1:3">
      <c r="A131" s="3" t="s">
        <v>472</v>
      </c>
      <c r="B131" s="3" t="s">
        <v>310</v>
      </c>
      <c r="C131" s="3" t="s">
        <v>296</v>
      </c>
    </row>
    <row r="132" spans="1:3">
      <c r="A132" s="3" t="s">
        <v>473</v>
      </c>
      <c r="B132" s="3" t="s">
        <v>311</v>
      </c>
      <c r="C132" s="3" t="s">
        <v>296</v>
      </c>
    </row>
    <row r="133" spans="1:3">
      <c r="A133" s="19" t="s">
        <v>538</v>
      </c>
      <c r="B133" s="3" t="s">
        <v>312</v>
      </c>
      <c r="C133" s="3" t="s">
        <v>305</v>
      </c>
    </row>
    <row r="134" spans="1:3">
      <c r="A134" s="19" t="s">
        <v>539</v>
      </c>
      <c r="B134" s="3" t="s">
        <v>313</v>
      </c>
      <c r="C134" s="3" t="s">
        <v>305</v>
      </c>
    </row>
    <row r="135" spans="1:3">
      <c r="A135" s="19" t="s">
        <v>538</v>
      </c>
      <c r="B135" s="3" t="s">
        <v>310</v>
      </c>
      <c r="C135" s="3" t="s">
        <v>305</v>
      </c>
    </row>
    <row r="136" spans="1:3">
      <c r="A136" s="19" t="s">
        <v>539</v>
      </c>
      <c r="B136" s="3" t="s">
        <v>311</v>
      </c>
      <c r="C136" s="3" t="s">
        <v>305</v>
      </c>
    </row>
    <row r="137" spans="1:3">
      <c r="A137" s="3" t="s">
        <v>474</v>
      </c>
      <c r="B137" s="3" t="s">
        <v>312</v>
      </c>
      <c r="C137" s="3" t="s">
        <v>302</v>
      </c>
    </row>
    <row r="138" spans="1:3">
      <c r="A138" s="3" t="s">
        <v>475</v>
      </c>
      <c r="B138" s="3" t="s">
        <v>313</v>
      </c>
      <c r="C138" s="3" t="s">
        <v>302</v>
      </c>
    </row>
    <row r="139" spans="1:3">
      <c r="A139" s="3" t="s">
        <v>474</v>
      </c>
      <c r="B139" s="3" t="s">
        <v>310</v>
      </c>
      <c r="C139" s="3" t="s">
        <v>302</v>
      </c>
    </row>
    <row r="140" spans="1:3">
      <c r="A140" s="3" t="s">
        <v>475</v>
      </c>
      <c r="B140" s="3" t="s">
        <v>311</v>
      </c>
      <c r="C140" s="3" t="s">
        <v>302</v>
      </c>
    </row>
    <row r="141" spans="1:3">
      <c r="A141" s="19" t="s">
        <v>540</v>
      </c>
      <c r="B141" s="3" t="s">
        <v>312</v>
      </c>
      <c r="C141" s="3" t="s">
        <v>306</v>
      </c>
    </row>
    <row r="142" spans="1:3">
      <c r="A142" s="19" t="s">
        <v>541</v>
      </c>
      <c r="B142" s="3" t="s">
        <v>313</v>
      </c>
      <c r="C142" s="3" t="s">
        <v>306</v>
      </c>
    </row>
    <row r="143" spans="1:3">
      <c r="A143" s="19" t="s">
        <v>540</v>
      </c>
      <c r="B143" s="3" t="s">
        <v>310</v>
      </c>
      <c r="C143" s="3" t="s">
        <v>306</v>
      </c>
    </row>
    <row r="144" spans="1:3">
      <c r="A144" s="19" t="s">
        <v>541</v>
      </c>
      <c r="B144" s="3" t="s">
        <v>311</v>
      </c>
      <c r="C144" s="3" t="s">
        <v>306</v>
      </c>
    </row>
    <row r="145" spans="1:3">
      <c r="A145" s="3" t="s">
        <v>476</v>
      </c>
      <c r="B145" s="3" t="s">
        <v>312</v>
      </c>
      <c r="C145" s="3" t="s">
        <v>303</v>
      </c>
    </row>
    <row r="146" spans="1:3">
      <c r="A146" s="3" t="s">
        <v>477</v>
      </c>
      <c r="B146" s="3" t="s">
        <v>313</v>
      </c>
      <c r="C146" s="3" t="s">
        <v>303</v>
      </c>
    </row>
    <row r="147" spans="1:3">
      <c r="A147" s="3" t="s">
        <v>476</v>
      </c>
      <c r="B147" s="3" t="s">
        <v>310</v>
      </c>
      <c r="C147" s="3" t="s">
        <v>303</v>
      </c>
    </row>
    <row r="148" spans="1:3">
      <c r="A148" s="3" t="s">
        <v>477</v>
      </c>
      <c r="B148" s="3" t="s">
        <v>311</v>
      </c>
      <c r="C148" s="3" t="s">
        <v>303</v>
      </c>
    </row>
    <row r="149" spans="1:3">
      <c r="A149" s="19" t="s">
        <v>542</v>
      </c>
      <c r="B149" s="3" t="s">
        <v>312</v>
      </c>
      <c r="C149" s="3" t="s">
        <v>301</v>
      </c>
    </row>
    <row r="150" spans="1:3">
      <c r="A150" s="19" t="s">
        <v>543</v>
      </c>
      <c r="B150" s="3" t="s">
        <v>313</v>
      </c>
      <c r="C150" s="3" t="s">
        <v>301</v>
      </c>
    </row>
    <row r="151" spans="1:3">
      <c r="A151" s="19" t="s">
        <v>542</v>
      </c>
      <c r="B151" s="3" t="s">
        <v>310</v>
      </c>
      <c r="C151" s="3" t="s">
        <v>301</v>
      </c>
    </row>
    <row r="152" spans="1:3">
      <c r="A152" s="19" t="s">
        <v>543</v>
      </c>
      <c r="B152" s="3" t="s">
        <v>311</v>
      </c>
      <c r="C152" s="3" t="s">
        <v>301</v>
      </c>
    </row>
    <row r="153" spans="1:3">
      <c r="A153" s="3" t="s">
        <v>478</v>
      </c>
      <c r="B153" s="3" t="s">
        <v>312</v>
      </c>
      <c r="C153" s="3" t="s">
        <v>304</v>
      </c>
    </row>
    <row r="154" spans="1:3">
      <c r="A154" s="3" t="s">
        <v>479</v>
      </c>
      <c r="B154" s="3" t="s">
        <v>313</v>
      </c>
      <c r="C154" s="3" t="s">
        <v>304</v>
      </c>
    </row>
    <row r="155" spans="1:3">
      <c r="A155" s="3" t="s">
        <v>478</v>
      </c>
      <c r="B155" s="3" t="s">
        <v>310</v>
      </c>
      <c r="C155" s="3" t="s">
        <v>304</v>
      </c>
    </row>
    <row r="156" spans="1:3">
      <c r="A156" s="3" t="s">
        <v>479</v>
      </c>
      <c r="B156" s="3" t="s">
        <v>311</v>
      </c>
      <c r="C156" s="3" t="s">
        <v>304</v>
      </c>
    </row>
    <row r="157" spans="1:3">
      <c r="A157" s="3" t="s">
        <v>480</v>
      </c>
      <c r="B157" s="3" t="s">
        <v>312</v>
      </c>
      <c r="C157" s="3" t="s">
        <v>307</v>
      </c>
    </row>
    <row r="158" spans="1:3">
      <c r="A158" s="3" t="s">
        <v>481</v>
      </c>
      <c r="B158" s="3" t="s">
        <v>313</v>
      </c>
      <c r="C158" s="3" t="s">
        <v>307</v>
      </c>
    </row>
    <row r="159" spans="1:3">
      <c r="A159" s="3" t="s">
        <v>480</v>
      </c>
      <c r="B159" s="3" t="s">
        <v>310</v>
      </c>
      <c r="C159" s="3" t="s">
        <v>307</v>
      </c>
    </row>
    <row r="160" spans="1:3">
      <c r="A160" s="3" t="s">
        <v>481</v>
      </c>
      <c r="B160" s="3" t="s">
        <v>311</v>
      </c>
      <c r="C160" s="3" t="s">
        <v>307</v>
      </c>
    </row>
    <row r="161" spans="1:3">
      <c r="A161" s="3" t="s">
        <v>482</v>
      </c>
      <c r="B161" s="3" t="s">
        <v>320</v>
      </c>
      <c r="C161" s="3" t="s">
        <v>296</v>
      </c>
    </row>
    <row r="162" spans="1:3">
      <c r="A162" s="3" t="s">
        <v>483</v>
      </c>
      <c r="B162" s="3" t="s">
        <v>317</v>
      </c>
      <c r="C162" s="3" t="s">
        <v>296</v>
      </c>
    </row>
    <row r="163" spans="1:3">
      <c r="A163" s="3" t="s">
        <v>484</v>
      </c>
      <c r="B163" s="3" t="s">
        <v>318</v>
      </c>
      <c r="C163" s="3" t="s">
        <v>296</v>
      </c>
    </row>
    <row r="164" spans="1:3">
      <c r="A164" s="3" t="s">
        <v>485</v>
      </c>
      <c r="B164" s="3" t="s">
        <v>319</v>
      </c>
      <c r="C164" s="3" t="s">
        <v>296</v>
      </c>
    </row>
    <row r="165" spans="1:3">
      <c r="A165" s="19" t="s">
        <v>544</v>
      </c>
      <c r="B165" s="3" t="s">
        <v>320</v>
      </c>
      <c r="C165" s="3" t="s">
        <v>305</v>
      </c>
    </row>
    <row r="166" spans="1:3">
      <c r="A166" s="19" t="s">
        <v>545</v>
      </c>
      <c r="B166" s="3" t="s">
        <v>317</v>
      </c>
      <c r="C166" s="3" t="s">
        <v>305</v>
      </c>
    </row>
    <row r="167" spans="1:3">
      <c r="A167" s="19" t="s">
        <v>544</v>
      </c>
      <c r="B167" s="3" t="s">
        <v>318</v>
      </c>
      <c r="C167" s="3" t="s">
        <v>305</v>
      </c>
    </row>
    <row r="168" spans="1:3">
      <c r="A168" s="19" t="s">
        <v>545</v>
      </c>
      <c r="B168" s="3" t="s">
        <v>319</v>
      </c>
      <c r="C168" s="3" t="s">
        <v>305</v>
      </c>
    </row>
    <row r="169" spans="1:3">
      <c r="A169" s="3" t="s">
        <v>486</v>
      </c>
      <c r="B169" s="3" t="s">
        <v>320</v>
      </c>
      <c r="C169" s="3" t="s">
        <v>302</v>
      </c>
    </row>
    <row r="170" spans="1:3">
      <c r="A170" s="3" t="s">
        <v>487</v>
      </c>
      <c r="B170" s="3" t="s">
        <v>317</v>
      </c>
      <c r="C170" s="3" t="s">
        <v>302</v>
      </c>
    </row>
    <row r="171" spans="1:3">
      <c r="A171" s="3" t="s">
        <v>486</v>
      </c>
      <c r="B171" s="3" t="s">
        <v>318</v>
      </c>
      <c r="C171" s="3" t="s">
        <v>302</v>
      </c>
    </row>
    <row r="172" spans="1:3">
      <c r="A172" s="3" t="s">
        <v>487</v>
      </c>
      <c r="B172" s="3" t="s">
        <v>319</v>
      </c>
      <c r="C172" s="3" t="s">
        <v>302</v>
      </c>
    </row>
    <row r="173" spans="1:3">
      <c r="A173" s="19" t="s">
        <v>546</v>
      </c>
      <c r="B173" s="3" t="s">
        <v>320</v>
      </c>
      <c r="C173" s="3" t="s">
        <v>306</v>
      </c>
    </row>
    <row r="174" spans="1:3">
      <c r="A174" s="19" t="s">
        <v>547</v>
      </c>
      <c r="B174" s="3" t="s">
        <v>317</v>
      </c>
      <c r="C174" s="3" t="s">
        <v>306</v>
      </c>
    </row>
    <row r="175" spans="1:3">
      <c r="A175" s="19" t="s">
        <v>546</v>
      </c>
      <c r="B175" s="3" t="s">
        <v>318</v>
      </c>
      <c r="C175" s="3" t="s">
        <v>306</v>
      </c>
    </row>
    <row r="176" spans="1:3">
      <c r="A176" s="19" t="s">
        <v>547</v>
      </c>
      <c r="B176" s="3" t="s">
        <v>319</v>
      </c>
      <c r="C176" s="3" t="s">
        <v>306</v>
      </c>
    </row>
    <row r="177" spans="1:3">
      <c r="A177" s="3" t="s">
        <v>488</v>
      </c>
      <c r="B177" s="3" t="s">
        <v>320</v>
      </c>
      <c r="C177" s="3" t="s">
        <v>303</v>
      </c>
    </row>
    <row r="178" spans="1:3">
      <c r="A178" s="3" t="s">
        <v>489</v>
      </c>
      <c r="B178" s="3" t="s">
        <v>317</v>
      </c>
      <c r="C178" s="3" t="s">
        <v>303</v>
      </c>
    </row>
    <row r="179" spans="1:3">
      <c r="A179" s="3" t="s">
        <v>488</v>
      </c>
      <c r="B179" s="3" t="s">
        <v>318</v>
      </c>
      <c r="C179" s="3" t="s">
        <v>303</v>
      </c>
    </row>
    <row r="180" spans="1:3">
      <c r="A180" s="3" t="s">
        <v>489</v>
      </c>
      <c r="B180" s="3" t="s">
        <v>319</v>
      </c>
      <c r="C180" s="3" t="s">
        <v>303</v>
      </c>
    </row>
    <row r="181" spans="1:3">
      <c r="A181" s="19" t="s">
        <v>548</v>
      </c>
      <c r="B181" s="3" t="s">
        <v>320</v>
      </c>
      <c r="C181" s="3" t="s">
        <v>301</v>
      </c>
    </row>
    <row r="182" spans="1:3">
      <c r="A182" s="19" t="s">
        <v>549</v>
      </c>
      <c r="B182" s="3" t="s">
        <v>317</v>
      </c>
      <c r="C182" s="3" t="s">
        <v>301</v>
      </c>
    </row>
    <row r="183" spans="1:3">
      <c r="A183" s="19" t="s">
        <v>548</v>
      </c>
      <c r="B183" s="3" t="s">
        <v>318</v>
      </c>
      <c r="C183" s="3" t="s">
        <v>301</v>
      </c>
    </row>
    <row r="184" spans="1:3">
      <c r="A184" s="19" t="s">
        <v>549</v>
      </c>
      <c r="B184" s="3" t="s">
        <v>319</v>
      </c>
      <c r="C184" s="3" t="s">
        <v>301</v>
      </c>
    </row>
    <row r="185" spans="1:3">
      <c r="A185" s="3" t="s">
        <v>490</v>
      </c>
      <c r="B185" s="3" t="s">
        <v>320</v>
      </c>
      <c r="C185" s="3" t="s">
        <v>304</v>
      </c>
    </row>
    <row r="186" spans="1:3">
      <c r="A186" s="3" t="s">
        <v>491</v>
      </c>
      <c r="B186" s="3" t="s">
        <v>317</v>
      </c>
      <c r="C186" s="3" t="s">
        <v>304</v>
      </c>
    </row>
    <row r="187" spans="1:3">
      <c r="A187" s="3" t="s">
        <v>490</v>
      </c>
      <c r="B187" s="3" t="s">
        <v>318</v>
      </c>
      <c r="C187" s="3" t="s">
        <v>304</v>
      </c>
    </row>
    <row r="188" spans="1:3">
      <c r="A188" s="3" t="s">
        <v>491</v>
      </c>
      <c r="B188" s="3" t="s">
        <v>319</v>
      </c>
      <c r="C188" s="3" t="s">
        <v>304</v>
      </c>
    </row>
    <row r="189" spans="1:3">
      <c r="A189" s="3" t="s">
        <v>492</v>
      </c>
      <c r="B189" s="3" t="s">
        <v>320</v>
      </c>
      <c r="C189" s="3" t="s">
        <v>307</v>
      </c>
    </row>
    <row r="190" spans="1:3">
      <c r="A190" s="3" t="s">
        <v>493</v>
      </c>
      <c r="B190" s="3" t="s">
        <v>317</v>
      </c>
      <c r="C190" s="3" t="s">
        <v>307</v>
      </c>
    </row>
    <row r="191" spans="1:3">
      <c r="A191" s="3" t="s">
        <v>492</v>
      </c>
      <c r="B191" s="3" t="s">
        <v>318</v>
      </c>
      <c r="C191" s="3" t="s">
        <v>307</v>
      </c>
    </row>
    <row r="192" spans="1:3">
      <c r="A192" s="3" t="s">
        <v>493</v>
      </c>
      <c r="B192" s="3" t="s">
        <v>319</v>
      </c>
      <c r="C192" s="3" t="s">
        <v>307</v>
      </c>
    </row>
    <row r="193" spans="1:3">
      <c r="A193" s="3" t="s">
        <v>494</v>
      </c>
      <c r="B193" s="3" t="s">
        <v>315</v>
      </c>
      <c r="C193" s="3" t="s">
        <v>323</v>
      </c>
    </row>
    <row r="194" spans="1:3">
      <c r="A194" s="3" t="s">
        <v>495</v>
      </c>
      <c r="B194" s="3" t="s">
        <v>321</v>
      </c>
      <c r="C194" s="3" t="s">
        <v>323</v>
      </c>
    </row>
    <row r="195" spans="1:3">
      <c r="A195" s="3" t="s">
        <v>496</v>
      </c>
      <c r="B195" s="3" t="s">
        <v>315</v>
      </c>
      <c r="C195" s="3" t="s">
        <v>300</v>
      </c>
    </row>
    <row r="196" spans="1:3">
      <c r="A196" s="3" t="s">
        <v>497</v>
      </c>
      <c r="B196" s="3" t="s">
        <v>321</v>
      </c>
      <c r="C196" s="3" t="s">
        <v>300</v>
      </c>
    </row>
    <row r="197" spans="1:3">
      <c r="A197" s="3" t="s">
        <v>498</v>
      </c>
      <c r="B197" s="3" t="s">
        <v>315</v>
      </c>
      <c r="C197" s="3" t="s">
        <v>299</v>
      </c>
    </row>
    <row r="198" spans="1:3">
      <c r="A198" s="3" t="s">
        <v>499</v>
      </c>
      <c r="B198" s="3" t="s">
        <v>321</v>
      </c>
      <c r="C198" s="3" t="s">
        <v>299</v>
      </c>
    </row>
    <row r="199" spans="1:3">
      <c r="A199" s="3" t="s">
        <v>500</v>
      </c>
      <c r="B199" s="3" t="s">
        <v>317</v>
      </c>
      <c r="C199" s="3" t="s">
        <v>323</v>
      </c>
    </row>
    <row r="200" spans="1:3">
      <c r="A200" s="3" t="s">
        <v>501</v>
      </c>
      <c r="B200" s="3" t="s">
        <v>320</v>
      </c>
      <c r="C200" s="3" t="s">
        <v>323</v>
      </c>
    </row>
    <row r="201" spans="1:3">
      <c r="A201" s="3" t="s">
        <v>500</v>
      </c>
      <c r="B201" s="3" t="s">
        <v>319</v>
      </c>
      <c r="C201" s="3" t="s">
        <v>323</v>
      </c>
    </row>
    <row r="202" spans="1:3">
      <c r="A202" s="3" t="s">
        <v>501</v>
      </c>
      <c r="B202" s="3" t="s">
        <v>318</v>
      </c>
      <c r="C202" s="3" t="s">
        <v>323</v>
      </c>
    </row>
    <row r="203" spans="1:3">
      <c r="A203" s="3" t="s">
        <v>502</v>
      </c>
      <c r="B203" s="3" t="s">
        <v>317</v>
      </c>
      <c r="C203" s="3" t="s">
        <v>300</v>
      </c>
    </row>
    <row r="204" spans="1:3">
      <c r="A204" s="3" t="s">
        <v>503</v>
      </c>
      <c r="B204" s="3" t="s">
        <v>320</v>
      </c>
      <c r="C204" s="3" t="s">
        <v>300</v>
      </c>
    </row>
    <row r="205" spans="1:3">
      <c r="A205" s="3" t="s">
        <v>502</v>
      </c>
      <c r="B205" s="3" t="s">
        <v>319</v>
      </c>
      <c r="C205" s="3" t="s">
        <v>300</v>
      </c>
    </row>
    <row r="206" spans="1:3">
      <c r="A206" s="3" t="s">
        <v>503</v>
      </c>
      <c r="B206" s="3" t="s">
        <v>318</v>
      </c>
      <c r="C206" s="3" t="s">
        <v>300</v>
      </c>
    </row>
    <row r="207" spans="1:3">
      <c r="A207" s="3" t="s">
        <v>504</v>
      </c>
      <c r="B207" s="3" t="s">
        <v>317</v>
      </c>
      <c r="C207" s="3" t="s">
        <v>299</v>
      </c>
    </row>
    <row r="208" spans="1:3">
      <c r="A208" s="3" t="s">
        <v>505</v>
      </c>
      <c r="B208" s="3" t="s">
        <v>320</v>
      </c>
      <c r="C208" s="3" t="s">
        <v>299</v>
      </c>
    </row>
    <row r="209" spans="1:3">
      <c r="A209" s="3" t="s">
        <v>504</v>
      </c>
      <c r="B209" s="3" t="s">
        <v>319</v>
      </c>
      <c r="C209" s="3" t="s">
        <v>299</v>
      </c>
    </row>
    <row r="210" spans="1:3">
      <c r="A210" s="3" t="s">
        <v>505</v>
      </c>
      <c r="B210" s="3" t="s">
        <v>318</v>
      </c>
      <c r="C210" s="3" t="s">
        <v>299</v>
      </c>
    </row>
    <row r="211" spans="1:3">
      <c r="A211" s="3" t="s">
        <v>506</v>
      </c>
      <c r="B211" s="3" t="s">
        <v>313</v>
      </c>
      <c r="C211" s="3" t="s">
        <v>323</v>
      </c>
    </row>
    <row r="212" spans="1:3">
      <c r="A212" s="3" t="s">
        <v>507</v>
      </c>
      <c r="B212" s="3" t="s">
        <v>312</v>
      </c>
      <c r="C212" s="3" t="s">
        <v>323</v>
      </c>
    </row>
    <row r="213" spans="1:3">
      <c r="A213" s="3" t="s">
        <v>506</v>
      </c>
      <c r="B213" s="3" t="s">
        <v>311</v>
      </c>
      <c r="C213" s="3" t="s">
        <v>323</v>
      </c>
    </row>
    <row r="214" spans="1:3">
      <c r="A214" s="3" t="s">
        <v>507</v>
      </c>
      <c r="B214" s="3" t="s">
        <v>310</v>
      </c>
      <c r="C214" s="3" t="s">
        <v>323</v>
      </c>
    </row>
    <row r="215" spans="1:3">
      <c r="A215" s="3" t="s">
        <v>508</v>
      </c>
      <c r="B215" s="3" t="s">
        <v>313</v>
      </c>
      <c r="C215" s="3" t="s">
        <v>300</v>
      </c>
    </row>
    <row r="216" spans="1:3">
      <c r="A216" s="3" t="s">
        <v>509</v>
      </c>
      <c r="B216" s="3" t="s">
        <v>312</v>
      </c>
      <c r="C216" s="3" t="s">
        <v>300</v>
      </c>
    </row>
    <row r="217" spans="1:3">
      <c r="A217" s="3" t="s">
        <v>508</v>
      </c>
      <c r="B217" s="3" t="s">
        <v>311</v>
      </c>
      <c r="C217" s="3" t="s">
        <v>300</v>
      </c>
    </row>
    <row r="218" spans="1:3">
      <c r="A218" s="3" t="s">
        <v>509</v>
      </c>
      <c r="B218" s="3" t="s">
        <v>310</v>
      </c>
      <c r="C218" s="3" t="s">
        <v>300</v>
      </c>
    </row>
    <row r="219" spans="1:3">
      <c r="A219" s="3" t="s">
        <v>510</v>
      </c>
      <c r="B219" s="3" t="s">
        <v>313</v>
      </c>
      <c r="C219" s="3" t="s">
        <v>299</v>
      </c>
    </row>
    <row r="220" spans="1:3">
      <c r="A220" s="3" t="s">
        <v>511</v>
      </c>
      <c r="B220" s="3" t="s">
        <v>312</v>
      </c>
      <c r="C220" s="3" t="s">
        <v>299</v>
      </c>
    </row>
    <row r="221" spans="1:3">
      <c r="A221" s="3" t="s">
        <v>510</v>
      </c>
      <c r="B221" s="3" t="s">
        <v>311</v>
      </c>
      <c r="C221" s="3" t="s">
        <v>299</v>
      </c>
    </row>
    <row r="222" spans="1:3">
      <c r="A222" s="3" t="s">
        <v>511</v>
      </c>
      <c r="B222" s="3" t="s">
        <v>310</v>
      </c>
      <c r="C222" s="3" t="s">
        <v>299</v>
      </c>
    </row>
    <row r="223" spans="1:3">
      <c r="A223" s="3" t="s">
        <v>512</v>
      </c>
      <c r="B223" s="3" t="s">
        <v>39</v>
      </c>
      <c r="C223" s="3" t="s">
        <v>323</v>
      </c>
    </row>
    <row r="224" spans="1:3">
      <c r="A224" s="3" t="s">
        <v>513</v>
      </c>
      <c r="B224" s="3" t="s">
        <v>78</v>
      </c>
      <c r="C224" s="3" t="s">
        <v>323</v>
      </c>
    </row>
    <row r="225" spans="1:3">
      <c r="A225" s="3" t="s">
        <v>514</v>
      </c>
      <c r="B225" s="3" t="s">
        <v>31</v>
      </c>
      <c r="C225" s="3" t="s">
        <v>323</v>
      </c>
    </row>
    <row r="226" spans="1:3">
      <c r="A226" s="3" t="s">
        <v>515</v>
      </c>
      <c r="B226" s="3" t="s">
        <v>89</v>
      </c>
      <c r="C226" s="3" t="s">
        <v>323</v>
      </c>
    </row>
    <row r="227" spans="1:3">
      <c r="A227" s="3" t="s">
        <v>516</v>
      </c>
      <c r="B227" s="3" t="s">
        <v>313</v>
      </c>
      <c r="C227" s="3" t="s">
        <v>324</v>
      </c>
    </row>
    <row r="228" spans="1:3">
      <c r="A228" s="3" t="s">
        <v>516</v>
      </c>
      <c r="B228" s="3" t="s">
        <v>312</v>
      </c>
      <c r="C228" s="3" t="s">
        <v>324</v>
      </c>
    </row>
    <row r="229" spans="1:3">
      <c r="A229" s="3" t="s">
        <v>516</v>
      </c>
      <c r="B229" s="3" t="s">
        <v>311</v>
      </c>
      <c r="C229" s="3" t="s">
        <v>324</v>
      </c>
    </row>
    <row r="230" spans="1:3">
      <c r="A230" s="3" t="s">
        <v>516</v>
      </c>
      <c r="B230" s="3" t="s">
        <v>310</v>
      </c>
      <c r="C230" s="3" t="s">
        <v>324</v>
      </c>
    </row>
    <row r="231" spans="1:3">
      <c r="A231" s="3" t="s">
        <v>516</v>
      </c>
      <c r="B231" s="3" t="s">
        <v>308</v>
      </c>
      <c r="C231" s="3" t="s">
        <v>324</v>
      </c>
    </row>
    <row r="232" spans="1:3">
      <c r="A232" s="3" t="s">
        <v>517</v>
      </c>
      <c r="B232" s="3" t="s">
        <v>317</v>
      </c>
      <c r="C232" s="3" t="s">
        <v>324</v>
      </c>
    </row>
    <row r="233" spans="1:3">
      <c r="A233" s="3" t="s">
        <v>517</v>
      </c>
      <c r="B233" s="3" t="s">
        <v>320</v>
      </c>
      <c r="C233" s="3" t="s">
        <v>324</v>
      </c>
    </row>
    <row r="234" spans="1:3">
      <c r="A234" s="3" t="s">
        <v>517</v>
      </c>
      <c r="B234" s="3" t="s">
        <v>319</v>
      </c>
      <c r="C234" s="3" t="s">
        <v>324</v>
      </c>
    </row>
    <row r="235" spans="1:3">
      <c r="A235" s="3" t="s">
        <v>517</v>
      </c>
      <c r="B235" s="3" t="s">
        <v>318</v>
      </c>
      <c r="C235" s="3" t="s">
        <v>324</v>
      </c>
    </row>
    <row r="236" spans="1:3">
      <c r="A236" s="3" t="s">
        <v>517</v>
      </c>
      <c r="B236" s="3" t="s">
        <v>316</v>
      </c>
      <c r="C236" s="3" t="s">
        <v>324</v>
      </c>
    </row>
    <row r="237" spans="1:3">
      <c r="A237" s="3" t="s">
        <v>518</v>
      </c>
      <c r="B237" s="3" t="s">
        <v>313</v>
      </c>
      <c r="C237" s="3" t="s">
        <v>325</v>
      </c>
    </row>
    <row r="238" spans="1:3">
      <c r="A238" s="3" t="s">
        <v>518</v>
      </c>
      <c r="B238" s="3" t="s">
        <v>312</v>
      </c>
      <c r="C238" s="3" t="s">
        <v>325</v>
      </c>
    </row>
    <row r="239" spans="1:3">
      <c r="A239" s="3" t="s">
        <v>518</v>
      </c>
      <c r="B239" s="3" t="s">
        <v>311</v>
      </c>
      <c r="C239" s="3" t="s">
        <v>325</v>
      </c>
    </row>
    <row r="240" spans="1:3">
      <c r="A240" s="3" t="s">
        <v>518</v>
      </c>
      <c r="B240" s="3" t="s">
        <v>310</v>
      </c>
      <c r="C240" s="3" t="s">
        <v>325</v>
      </c>
    </row>
    <row r="241" spans="1:3">
      <c r="A241" s="3" t="s">
        <v>518</v>
      </c>
      <c r="B241" s="3" t="s">
        <v>308</v>
      </c>
      <c r="C241" s="3" t="s">
        <v>325</v>
      </c>
    </row>
    <row r="242" spans="1:3">
      <c r="A242" s="3" t="s">
        <v>519</v>
      </c>
      <c r="B242" s="3" t="s">
        <v>317</v>
      </c>
      <c r="C242" s="3" t="s">
        <v>325</v>
      </c>
    </row>
    <row r="243" spans="1:3">
      <c r="A243" s="3" t="s">
        <v>519</v>
      </c>
      <c r="B243" s="3" t="s">
        <v>320</v>
      </c>
      <c r="C243" s="3" t="s">
        <v>325</v>
      </c>
    </row>
    <row r="244" spans="1:3">
      <c r="A244" s="3" t="s">
        <v>519</v>
      </c>
      <c r="B244" s="3" t="s">
        <v>319</v>
      </c>
      <c r="C244" s="3" t="s">
        <v>325</v>
      </c>
    </row>
    <row r="245" spans="1:3">
      <c r="A245" s="3" t="s">
        <v>519</v>
      </c>
      <c r="B245" s="3" t="s">
        <v>318</v>
      </c>
      <c r="C245" s="3" t="s">
        <v>325</v>
      </c>
    </row>
    <row r="246" spans="1:3">
      <c r="A246" s="3" t="s">
        <v>519</v>
      </c>
      <c r="B246" s="3" t="s">
        <v>316</v>
      </c>
      <c r="C246" s="3" t="s">
        <v>325</v>
      </c>
    </row>
    <row r="247" spans="1:3">
      <c r="A247" s="3" t="s">
        <v>520</v>
      </c>
      <c r="B247" s="3" t="s">
        <v>308</v>
      </c>
      <c r="C247" s="3" t="s">
        <v>297</v>
      </c>
    </row>
    <row r="248" spans="1:3">
      <c r="A248" s="3" t="s">
        <v>521</v>
      </c>
      <c r="B248" s="3" t="s">
        <v>316</v>
      </c>
      <c r="C248" s="3" t="s">
        <v>297</v>
      </c>
    </row>
    <row r="249" spans="1:3">
      <c r="A249" s="3" t="s">
        <v>522</v>
      </c>
      <c r="B249" s="3" t="s">
        <v>322</v>
      </c>
      <c r="C249" s="3" t="s">
        <v>302</v>
      </c>
    </row>
    <row r="250" spans="1:3">
      <c r="A250" s="19" t="s">
        <v>551</v>
      </c>
      <c r="B250" s="3" t="s">
        <v>322</v>
      </c>
      <c r="C250" s="3" t="s">
        <v>301</v>
      </c>
    </row>
    <row r="251" spans="1:3">
      <c r="A251" s="3" t="s">
        <v>523</v>
      </c>
      <c r="B251" s="3" t="s">
        <v>322</v>
      </c>
      <c r="C251" s="3" t="s">
        <v>304</v>
      </c>
    </row>
    <row r="252" spans="1:3">
      <c r="A252" s="19" t="s">
        <v>550</v>
      </c>
      <c r="B252" s="3" t="s">
        <v>322</v>
      </c>
      <c r="C252" s="3" t="s">
        <v>306</v>
      </c>
    </row>
    <row r="253" spans="1:3">
      <c r="A253" s="3" t="s">
        <v>524</v>
      </c>
      <c r="B253" s="3" t="s">
        <v>322</v>
      </c>
      <c r="C253" s="3" t="s">
        <v>296</v>
      </c>
    </row>
    <row r="254" spans="1:3">
      <c r="A254" s="3" t="s">
        <v>525</v>
      </c>
      <c r="B254" s="3" t="s">
        <v>322</v>
      </c>
      <c r="C254" s="3" t="s">
        <v>307</v>
      </c>
    </row>
    <row r="255" spans="1:3">
      <c r="A255" s="3" t="s">
        <v>526</v>
      </c>
      <c r="B255" s="3" t="s">
        <v>322</v>
      </c>
      <c r="C255" s="3" t="s">
        <v>299</v>
      </c>
    </row>
    <row r="256" spans="1:3">
      <c r="A256" s="3" t="s">
        <v>527</v>
      </c>
      <c r="B256" s="3" t="s">
        <v>322</v>
      </c>
      <c r="C256" s="3" t="s">
        <v>300</v>
      </c>
    </row>
    <row r="257" spans="1:3">
      <c r="A257" s="3" t="s">
        <v>528</v>
      </c>
      <c r="B257" s="3" t="s">
        <v>322</v>
      </c>
      <c r="C257" s="3" t="s">
        <v>303</v>
      </c>
    </row>
    <row r="258" spans="1:3">
      <c r="A258" s="3" t="s">
        <v>529</v>
      </c>
      <c r="B258" s="3" t="s">
        <v>313</v>
      </c>
      <c r="C258" s="3" t="s">
        <v>297</v>
      </c>
    </row>
    <row r="259" spans="1:3">
      <c r="A259" s="3" t="s">
        <v>530</v>
      </c>
      <c r="B259" s="3" t="s">
        <v>312</v>
      </c>
      <c r="C259" s="3" t="s">
        <v>297</v>
      </c>
    </row>
    <row r="260" spans="1:3">
      <c r="A260" s="3" t="s">
        <v>531</v>
      </c>
      <c r="B260" s="3" t="s">
        <v>317</v>
      </c>
      <c r="C260" s="3" t="s">
        <v>297</v>
      </c>
    </row>
    <row r="261" spans="1:3">
      <c r="A261" s="3" t="s">
        <v>532</v>
      </c>
      <c r="B261" s="3" t="s">
        <v>320</v>
      </c>
      <c r="C261" s="3" t="s">
        <v>297</v>
      </c>
    </row>
    <row r="262" spans="1:3">
      <c r="A262" s="3" t="s">
        <v>533</v>
      </c>
      <c r="B262" s="3" t="s">
        <v>311</v>
      </c>
      <c r="C262" s="3" t="s">
        <v>297</v>
      </c>
    </row>
    <row r="263" spans="1:3">
      <c r="A263" s="3" t="s">
        <v>534</v>
      </c>
      <c r="B263" s="3" t="s">
        <v>310</v>
      </c>
      <c r="C263" s="3" t="s">
        <v>297</v>
      </c>
    </row>
    <row r="264" spans="1:3">
      <c r="A264" s="3" t="s">
        <v>535</v>
      </c>
      <c r="B264" s="3" t="s">
        <v>319</v>
      </c>
      <c r="C264" s="3" t="s">
        <v>297</v>
      </c>
    </row>
    <row r="265" spans="1:3">
      <c r="A265" s="3" t="s">
        <v>536</v>
      </c>
      <c r="B265" s="3" t="s">
        <v>318</v>
      </c>
      <c r="C265" s="3" t="s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326</v>
      </c>
      <c r="B1" s="1" t="s">
        <v>327</v>
      </c>
      <c r="C1" s="1" t="s">
        <v>328</v>
      </c>
    </row>
    <row r="2" spans="1:3">
      <c r="A2" s="3" t="s">
        <v>329</v>
      </c>
      <c r="B2" s="3" t="s">
        <v>330</v>
      </c>
      <c r="C2" s="3" t="s">
        <v>331</v>
      </c>
    </row>
    <row r="3" spans="1:3">
      <c r="A3" s="3" t="s">
        <v>162</v>
      </c>
      <c r="B3" s="3" t="s">
        <v>332</v>
      </c>
      <c r="C3" s="3" t="s">
        <v>333</v>
      </c>
    </row>
    <row r="4" spans="1:3">
      <c r="A4" s="3" t="s">
        <v>334</v>
      </c>
      <c r="B4" s="3" t="s">
        <v>335</v>
      </c>
      <c r="C4" s="3" t="s">
        <v>336</v>
      </c>
    </row>
    <row r="5" spans="1:3">
      <c r="A5" s="3" t="s">
        <v>337</v>
      </c>
      <c r="B5" s="3" t="s">
        <v>338</v>
      </c>
      <c r="C5" s="3" t="s">
        <v>339</v>
      </c>
    </row>
    <row r="6" spans="1:3">
      <c r="A6" s="3" t="s">
        <v>164</v>
      </c>
      <c r="B6" s="3" t="s">
        <v>340</v>
      </c>
      <c r="C6" s="3" t="s">
        <v>341</v>
      </c>
    </row>
    <row r="7" spans="1:3">
      <c r="A7" s="3" t="s">
        <v>342</v>
      </c>
      <c r="B7" s="3" t="s">
        <v>343</v>
      </c>
      <c r="C7" s="3" t="s">
        <v>344</v>
      </c>
    </row>
    <row r="8" spans="1:3">
      <c r="A8" s="3" t="s">
        <v>159</v>
      </c>
      <c r="B8" s="3" t="s">
        <v>345</v>
      </c>
      <c r="C8" s="3" t="s">
        <v>346</v>
      </c>
    </row>
    <row r="9" spans="1:3">
      <c r="A9" s="3" t="s">
        <v>347</v>
      </c>
      <c r="B9" s="3" t="s">
        <v>348</v>
      </c>
      <c r="C9" s="3" t="s">
        <v>349</v>
      </c>
    </row>
    <row r="10" spans="1:3">
      <c r="A10" s="3" t="s">
        <v>166</v>
      </c>
      <c r="B10" s="3" t="s">
        <v>160</v>
      </c>
      <c r="C10" s="3" t="s">
        <v>350</v>
      </c>
    </row>
    <row r="11" spans="1:3">
      <c r="A11" s="3" t="s">
        <v>351</v>
      </c>
      <c r="B11" s="3" t="s">
        <v>352</v>
      </c>
      <c r="C11" s="3" t="s">
        <v>353</v>
      </c>
    </row>
    <row r="12" spans="1:3">
      <c r="A12" s="3" t="s">
        <v>168</v>
      </c>
      <c r="B12" s="3" t="s">
        <v>354</v>
      </c>
      <c r="C12" s="3" t="s">
        <v>355</v>
      </c>
    </row>
    <row r="13" spans="1:3">
      <c r="A13" s="3" t="s">
        <v>356</v>
      </c>
      <c r="B13" s="3" t="s">
        <v>357</v>
      </c>
      <c r="C13" s="3" t="s">
        <v>358</v>
      </c>
    </row>
    <row r="14" spans="1:3">
      <c r="A14" s="3" t="s">
        <v>359</v>
      </c>
      <c r="B14" s="3" t="s">
        <v>360</v>
      </c>
      <c r="C14" s="3" t="s">
        <v>361</v>
      </c>
    </row>
    <row r="15" spans="1:3">
      <c r="A15" s="3" t="s">
        <v>213</v>
      </c>
      <c r="B15" s="3" t="s">
        <v>362</v>
      </c>
      <c r="C15" s="3" t="s">
        <v>363</v>
      </c>
    </row>
    <row r="16" spans="1:3">
      <c r="A16" s="3" t="s">
        <v>175</v>
      </c>
      <c r="B16" s="3" t="s">
        <v>364</v>
      </c>
      <c r="C16" s="3" t="s">
        <v>365</v>
      </c>
    </row>
    <row r="17" spans="1:3">
      <c r="A17" s="3" t="s">
        <v>366</v>
      </c>
      <c r="B17" s="3" t="s">
        <v>367</v>
      </c>
      <c r="C17" s="3" t="s">
        <v>368</v>
      </c>
    </row>
    <row r="18" spans="1:3">
      <c r="A18" s="3" t="s">
        <v>208</v>
      </c>
      <c r="B18" s="3" t="s">
        <v>369</v>
      </c>
      <c r="C18" s="3" t="s">
        <v>370</v>
      </c>
    </row>
    <row r="19" spans="1:3">
      <c r="A19" s="3" t="s">
        <v>170</v>
      </c>
      <c r="B19" s="3" t="s">
        <v>371</v>
      </c>
      <c r="C19" s="3" t="s">
        <v>372</v>
      </c>
    </row>
    <row r="20" spans="1:3">
      <c r="A20" s="3" t="s">
        <v>373</v>
      </c>
      <c r="B20" s="3" t="s">
        <v>374</v>
      </c>
      <c r="C20" s="3" t="s">
        <v>375</v>
      </c>
    </row>
    <row r="21" spans="1:3">
      <c r="A21" s="3" t="s">
        <v>376</v>
      </c>
      <c r="B21" s="3" t="s">
        <v>377</v>
      </c>
      <c r="C21" s="3" t="s">
        <v>378</v>
      </c>
    </row>
    <row r="22" spans="1:3">
      <c r="A22" s="3" t="s">
        <v>181</v>
      </c>
      <c r="C22" s="3" t="s">
        <v>379</v>
      </c>
    </row>
    <row r="23" spans="1:3">
      <c r="A23" s="3" t="s">
        <v>380</v>
      </c>
      <c r="C23" s="3" t="s">
        <v>381</v>
      </c>
    </row>
    <row r="24" spans="1:3">
      <c r="A24" s="3" t="s">
        <v>382</v>
      </c>
      <c r="C24" s="3" t="s">
        <v>383</v>
      </c>
    </row>
    <row r="25" spans="1:3">
      <c r="A25" s="3" t="s">
        <v>178</v>
      </c>
      <c r="C25" s="3" t="s">
        <v>384</v>
      </c>
    </row>
    <row r="26" spans="1:3">
      <c r="A26" s="3" t="s">
        <v>385</v>
      </c>
      <c r="C26" s="3" t="s">
        <v>386</v>
      </c>
    </row>
    <row r="27" spans="1:3">
      <c r="A27" s="3" t="s">
        <v>387</v>
      </c>
      <c r="C27" s="3" t="s">
        <v>388</v>
      </c>
    </row>
    <row r="28" spans="1:3">
      <c r="A28" s="3" t="s">
        <v>196</v>
      </c>
      <c r="C28" s="3" t="s">
        <v>389</v>
      </c>
    </row>
    <row r="29" spans="1:3">
      <c r="A29" s="3" t="s">
        <v>390</v>
      </c>
      <c r="C29" s="3" t="s">
        <v>391</v>
      </c>
    </row>
    <row r="30" spans="1:3">
      <c r="A30" s="3" t="s">
        <v>392</v>
      </c>
      <c r="C30" s="3" t="s">
        <v>393</v>
      </c>
    </row>
    <row r="31" spans="1:3">
      <c r="A31" s="3" t="s">
        <v>232</v>
      </c>
      <c r="C31" s="3" t="s">
        <v>394</v>
      </c>
    </row>
    <row r="32" spans="1:3">
      <c r="A32" s="3" t="s">
        <v>395</v>
      </c>
      <c r="C32" s="3" t="s">
        <v>396</v>
      </c>
    </row>
    <row r="33" spans="1:3">
      <c r="A33" s="3" t="s">
        <v>397</v>
      </c>
      <c r="C33" s="3" t="s">
        <v>398</v>
      </c>
    </row>
    <row r="34" spans="1:3">
      <c r="A34" s="3" t="s">
        <v>552</v>
      </c>
      <c r="C34" s="3" t="s">
        <v>399</v>
      </c>
    </row>
    <row r="35" spans="1:3">
      <c r="A35" s="3" t="s">
        <v>400</v>
      </c>
      <c r="C35" s="3" t="s">
        <v>167</v>
      </c>
    </row>
    <row r="36" spans="1:3">
      <c r="A36" s="3" t="s">
        <v>401</v>
      </c>
      <c r="C36" s="3" t="s">
        <v>402</v>
      </c>
    </row>
    <row r="37" spans="1:3">
      <c r="A37" s="3" t="s">
        <v>403</v>
      </c>
      <c r="C37" s="3" t="s">
        <v>404</v>
      </c>
    </row>
    <row r="38" spans="1:3">
      <c r="A38" s="3" t="s">
        <v>405</v>
      </c>
      <c r="C38" s="3" t="s">
        <v>406</v>
      </c>
    </row>
    <row r="39" spans="1:3">
      <c r="A39" s="3" t="s">
        <v>407</v>
      </c>
      <c r="C39" s="3" t="s">
        <v>408</v>
      </c>
    </row>
    <row r="40" spans="1:3">
      <c r="A40" s="3" t="s">
        <v>409</v>
      </c>
      <c r="C40" s="3" t="s">
        <v>410</v>
      </c>
    </row>
    <row r="41" spans="1:3">
      <c r="A41" s="3" t="s">
        <v>411</v>
      </c>
      <c r="C41" s="3" t="s">
        <v>412</v>
      </c>
    </row>
    <row r="42" spans="1:3">
      <c r="A42" s="3" t="s">
        <v>413</v>
      </c>
      <c r="C42" s="3" t="s">
        <v>414</v>
      </c>
    </row>
    <row r="43" spans="1:3">
      <c r="A43" s="3" t="s">
        <v>415</v>
      </c>
      <c r="C43" s="3" t="s">
        <v>416</v>
      </c>
    </row>
    <row r="44" spans="1:3">
      <c r="A44" s="3" t="s">
        <v>417</v>
      </c>
      <c r="C44" s="3" t="s">
        <v>418</v>
      </c>
    </row>
    <row r="45" spans="1:3">
      <c r="A45" s="3" t="s">
        <v>419</v>
      </c>
      <c r="C45" s="3" t="s">
        <v>420</v>
      </c>
    </row>
    <row r="46" spans="1:3">
      <c r="A46" s="3" t="s">
        <v>421</v>
      </c>
      <c r="C46" s="3" t="s">
        <v>422</v>
      </c>
    </row>
    <row r="47" spans="1:3">
      <c r="A47" s="3" t="s">
        <v>423</v>
      </c>
      <c r="C47" s="3" t="s">
        <v>424</v>
      </c>
    </row>
    <row r="48" spans="1:3">
      <c r="A48" s="3" t="s">
        <v>425</v>
      </c>
      <c r="C48" s="3" t="s">
        <v>426</v>
      </c>
    </row>
    <row r="49" spans="1:3">
      <c r="A49" s="3" t="s">
        <v>427</v>
      </c>
      <c r="C49" s="3" t="s">
        <v>197</v>
      </c>
    </row>
    <row r="50" spans="1:3">
      <c r="A50" s="3" t="s">
        <v>428</v>
      </c>
      <c r="C50" s="3" t="s">
        <v>429</v>
      </c>
    </row>
    <row r="51" spans="1:3">
      <c r="A51" s="3" t="s">
        <v>430</v>
      </c>
      <c r="C51" s="3" t="s">
        <v>431</v>
      </c>
    </row>
    <row r="52" spans="1:3">
      <c r="A52" s="3" t="s">
        <v>432</v>
      </c>
      <c r="C52" s="3" t="s">
        <v>433</v>
      </c>
    </row>
    <row r="53" spans="1:3">
      <c r="A53" s="3" t="s">
        <v>434</v>
      </c>
      <c r="C53" s="3" t="s">
        <v>435</v>
      </c>
    </row>
    <row r="54" spans="1:3">
      <c r="C54" s="3" t="s">
        <v>436</v>
      </c>
    </row>
    <row r="55" spans="1:3">
      <c r="C55" s="3" t="s">
        <v>437</v>
      </c>
    </row>
    <row r="56" spans="1:3">
      <c r="C56" s="3" t="s">
        <v>438</v>
      </c>
    </row>
    <row r="57" spans="1:3">
      <c r="C57" s="3" t="s">
        <v>439</v>
      </c>
    </row>
    <row r="58" spans="1:3">
      <c r="C58" s="3" t="s">
        <v>161</v>
      </c>
    </row>
    <row r="59" spans="1:3">
      <c r="C59" s="3" t="s">
        <v>163</v>
      </c>
    </row>
    <row r="60" spans="1:3">
      <c r="C60" s="3" t="s">
        <v>440</v>
      </c>
    </row>
    <row r="61" spans="1:3">
      <c r="C61" s="3" t="s">
        <v>441</v>
      </c>
    </row>
    <row r="62" spans="1:3">
      <c r="C62" s="3" t="s">
        <v>442</v>
      </c>
    </row>
    <row r="63" spans="1:3">
      <c r="C63" s="3" t="s">
        <v>443</v>
      </c>
    </row>
    <row r="64" spans="1:3">
      <c r="C64" s="3" t="s">
        <v>444</v>
      </c>
    </row>
    <row r="65" spans="3:3">
      <c r="C65" s="3" t="s">
        <v>445</v>
      </c>
    </row>
    <row r="66" spans="3:3">
      <c r="C66" s="3" t="s">
        <v>446</v>
      </c>
    </row>
    <row r="67" spans="3:3">
      <c r="C67" s="3" t="s">
        <v>447</v>
      </c>
    </row>
    <row r="68" spans="3:3">
      <c r="C68" s="3" t="s">
        <v>448</v>
      </c>
    </row>
    <row r="69" spans="3:3">
      <c r="C69" s="3" t="s">
        <v>449</v>
      </c>
    </row>
    <row r="70" spans="3:3">
      <c r="C70" s="3" t="s">
        <v>450</v>
      </c>
    </row>
    <row r="71" spans="3:3">
      <c r="C71" s="3" t="s">
        <v>451</v>
      </c>
    </row>
    <row r="72" spans="3:3">
      <c r="C72" s="3" t="s">
        <v>452</v>
      </c>
    </row>
    <row r="73" spans="3:3">
      <c r="C73" s="3" t="s">
        <v>453</v>
      </c>
    </row>
    <row r="74" spans="3:3">
      <c r="C74" s="3" t="s">
        <v>454</v>
      </c>
    </row>
    <row r="75" spans="3:3">
      <c r="C75" s="3" t="s">
        <v>165</v>
      </c>
    </row>
    <row r="76" spans="3:3">
      <c r="C76" s="3" t="s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