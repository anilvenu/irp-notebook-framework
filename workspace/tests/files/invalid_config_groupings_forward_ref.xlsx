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\\wsl.localhost\Ubuntu\home\avenugopal\irp-notebook-framework\workspace\tests\files\"/>
    </mc:Choice>
  </mc:AlternateContent>
  <xr:revisionPtr revIDLastSave="0" documentId="13_ncr:1_{5FEBD9D3-86A3-4AC2-AADC-F319F971544C}" xr6:coauthVersionLast="47" xr6:coauthVersionMax="47" xr10:uidLastSave="{00000000-0000-0000-0000-000000000000}"/>
  <bookViews>
    <workbookView xWindow="-16320" yWindow="-120" windowWidth="16440" windowHeight="28320" firstSheet="5" activeTab="7" xr2:uid="{48674540-2CFC-41EB-AA35-DFC8C4619EF6}"/>
  </bookViews>
  <sheets>
    <sheet name="Metadata" sheetId="9" r:id="rId1"/>
    <sheet name="Validations" sheetId="13" r:id="rId2"/>
    <sheet name="Databases" sheetId="6" r:id="rId3"/>
    <sheet name="Portfolios" sheetId="12" r:id="rId4"/>
    <sheet name="Reinsurance Treaties" sheetId="8" r:id="rId5"/>
    <sheet name="GeoHaz Thresholds" sheetId="10" r:id="rId6"/>
    <sheet name="Analysis Table" sheetId="2" r:id="rId7"/>
    <sheet name="Groupings" sheetId="3" r:id="rId8"/>
    <sheet name="Products and Perils" sheetId="4" r:id="rId9"/>
    <sheet name="Moody's Reference Data" sheetId="14" r:id="rId10"/>
  </sheets>
  <definedNames>
    <definedName name="Analysis">'Analysis Table'!$C$2:$C$498</definedName>
    <definedName name="_xlnm.Database">Databases!$A$2:$A$500</definedName>
    <definedName name="EventRates">'Moody''s Reference Data'!$C$2:$C$500</definedName>
    <definedName name="ModelProfiles">'Moody''s Reference Data'!$A$2:$A$500</definedName>
    <definedName name="OutputProfiles">'Moody''s Reference Data'!$B$2:$B$500</definedName>
    <definedName name="Portfolio">Portfolios!$A$2:$A$500</definedName>
    <definedName name="Treaty">'Reinsurance Treaties'!$A$2:$A$498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90" i="3" l="1"/>
  <c r="B2" i="12"/>
  <c r="B3" i="12"/>
  <c r="B4" i="12"/>
  <c r="B5" i="12"/>
  <c r="B6" i="12"/>
  <c r="B7" i="12"/>
  <c r="B8" i="12"/>
  <c r="B9" i="12"/>
  <c r="B10" i="12"/>
  <c r="B11" i="12"/>
  <c r="B12" i="12"/>
  <c r="B13" i="12"/>
  <c r="B14" i="12"/>
  <c r="B15" i="12"/>
  <c r="B16" i="12"/>
  <c r="B17" i="12"/>
  <c r="B18" i="12"/>
  <c r="B19" i="12"/>
  <c r="B20" i="12"/>
  <c r="B21" i="12"/>
  <c r="B22" i="12"/>
  <c r="B23" i="12"/>
  <c r="B24" i="12"/>
  <c r="B25" i="12"/>
  <c r="B26" i="12"/>
  <c r="B27" i="12"/>
  <c r="B28" i="12"/>
  <c r="B29" i="12"/>
  <c r="B30" i="12"/>
  <c r="B31" i="12"/>
  <c r="B32" i="12"/>
  <c r="B33" i="12"/>
  <c r="B34" i="12"/>
  <c r="B35" i="12"/>
  <c r="B36" i="12"/>
  <c r="B37" i="12"/>
  <c r="B38" i="12"/>
  <c r="B39" i="12"/>
  <c r="B40" i="12"/>
  <c r="B41" i="12"/>
  <c r="B42" i="12"/>
  <c r="B43" i="12"/>
  <c r="B44" i="12"/>
  <c r="B45" i="12"/>
  <c r="B46" i="12"/>
  <c r="B47" i="12"/>
  <c r="B48" i="12"/>
  <c r="B49" i="12"/>
  <c r="B50" i="12"/>
  <c r="B51" i="12"/>
  <c r="B52" i="12"/>
  <c r="B53" i="12"/>
  <c r="B54" i="12"/>
  <c r="B55" i="12"/>
  <c r="B56" i="12"/>
  <c r="B57" i="12"/>
  <c r="B58" i="12"/>
  <c r="B59" i="12"/>
  <c r="B60" i="12"/>
  <c r="B61" i="12"/>
  <c r="B62" i="12"/>
  <c r="B63" i="12"/>
  <c r="B64" i="12"/>
  <c r="B65" i="12"/>
  <c r="B66" i="12"/>
  <c r="B67" i="12"/>
  <c r="B68" i="12"/>
  <c r="B69" i="12"/>
  <c r="B70" i="12"/>
  <c r="B71" i="12"/>
  <c r="A7" i="6"/>
  <c r="A6" i="6"/>
  <c r="A5" i="6"/>
  <c r="A4" i="6"/>
  <c r="A3" i="6"/>
  <c r="A2" i="6"/>
  <c r="A8" i="6"/>
  <c r="B11" i="9"/>
  <c r="A68" i="2"/>
  <c r="A84" i="2"/>
  <c r="A62" i="2"/>
  <c r="A52" i="2"/>
  <c r="A42" i="2"/>
  <c r="L94" i="2"/>
  <c r="L93" i="2"/>
  <c r="L92" i="2"/>
  <c r="L91" i="2"/>
  <c r="L90" i="2"/>
  <c r="L89" i="2"/>
  <c r="L88" i="2"/>
  <c r="L87" i="2"/>
  <c r="L86" i="2"/>
  <c r="L85" i="2"/>
  <c r="L84" i="2"/>
  <c r="L83" i="2"/>
  <c r="L82" i="2"/>
  <c r="L81" i="2"/>
  <c r="L80" i="2"/>
  <c r="L79" i="2"/>
  <c r="L78" i="2"/>
  <c r="L77" i="2"/>
  <c r="L76" i="2"/>
  <c r="L75" i="2"/>
  <c r="L74" i="2"/>
  <c r="L73" i="2"/>
  <c r="L72" i="2"/>
  <c r="L71" i="2"/>
  <c r="L70" i="2"/>
  <c r="L69" i="2"/>
  <c r="L68" i="2"/>
  <c r="L67" i="2"/>
  <c r="L66" i="2"/>
  <c r="L65" i="2"/>
  <c r="L64" i="2"/>
  <c r="L63" i="2"/>
  <c r="L62" i="2"/>
  <c r="L61" i="2"/>
  <c r="L60" i="2"/>
  <c r="L59" i="2"/>
  <c r="L58" i="2"/>
  <c r="L57" i="2"/>
  <c r="L56" i="2"/>
  <c r="L55" i="2"/>
  <c r="L54" i="2"/>
  <c r="L53" i="2"/>
  <c r="L52" i="2"/>
  <c r="L51" i="2"/>
  <c r="L50" i="2"/>
  <c r="L49" i="2"/>
  <c r="L48" i="2"/>
  <c r="L47" i="2"/>
  <c r="L46" i="2"/>
  <c r="L45" i="2"/>
  <c r="L44" i="2"/>
  <c r="L43" i="2"/>
  <c r="L42" i="2"/>
  <c r="L41" i="2"/>
  <c r="L40" i="2"/>
  <c r="L39" i="2"/>
  <c r="L38" i="2"/>
  <c r="L37" i="2"/>
  <c r="L36" i="2"/>
  <c r="L35" i="2"/>
  <c r="L34" i="2"/>
  <c r="L33" i="2"/>
  <c r="L32" i="2"/>
  <c r="L31" i="2"/>
  <c r="L30" i="2"/>
  <c r="L29" i="2"/>
  <c r="L28" i="2"/>
  <c r="L27" i="2"/>
  <c r="L26" i="2"/>
  <c r="L25" i="2"/>
  <c r="L24" i="2"/>
  <c r="L23" i="2"/>
  <c r="L22" i="2"/>
  <c r="L21" i="2"/>
  <c r="L20" i="2"/>
  <c r="L19" i="2"/>
  <c r="L18" i="2"/>
  <c r="L17" i="2"/>
  <c r="L16" i="2"/>
  <c r="L15" i="2"/>
  <c r="L14" i="2"/>
  <c r="L13" i="2"/>
  <c r="L12" i="2"/>
  <c r="L11" i="2"/>
  <c r="L10" i="2"/>
  <c r="L9" i="2"/>
  <c r="L8" i="2"/>
  <c r="L7" i="2"/>
  <c r="L6" i="2"/>
  <c r="L5" i="2"/>
  <c r="L4" i="2"/>
  <c r="L3" i="2"/>
  <c r="L2" i="2"/>
  <c r="A94" i="2"/>
  <c r="A93" i="2"/>
  <c r="A92" i="2"/>
  <c r="A91" i="2"/>
  <c r="A90" i="2"/>
  <c r="A89" i="2"/>
  <c r="A88" i="2"/>
  <c r="A87" i="2"/>
  <c r="A86" i="2"/>
  <c r="A85" i="2"/>
  <c r="A83" i="2"/>
  <c r="A82" i="2"/>
  <c r="A81" i="2"/>
  <c r="A80" i="2"/>
  <c r="A79" i="2"/>
  <c r="A78" i="2"/>
  <c r="A77" i="2"/>
  <c r="A76" i="2"/>
  <c r="A75" i="2"/>
  <c r="A74" i="2"/>
  <c r="A73" i="2"/>
  <c r="A72" i="2"/>
  <c r="A71" i="2"/>
  <c r="A70" i="2"/>
  <c r="A69" i="2"/>
  <c r="A67" i="2"/>
  <c r="A66" i="2"/>
  <c r="A65" i="2"/>
  <c r="A64" i="2"/>
  <c r="A63" i="2"/>
  <c r="A61" i="2"/>
  <c r="A60" i="2"/>
  <c r="A59" i="2"/>
  <c r="A58" i="2"/>
  <c r="A57" i="2"/>
  <c r="A56" i="2"/>
  <c r="A55" i="2"/>
  <c r="A54" i="2"/>
  <c r="A53" i="2"/>
  <c r="A51" i="2"/>
  <c r="A50" i="2"/>
  <c r="A49" i="2"/>
  <c r="A48" i="2"/>
  <c r="A47" i="2"/>
  <c r="A46" i="2"/>
  <c r="A45" i="2"/>
  <c r="A44" i="2"/>
  <c r="A43" i="2"/>
  <c r="A41" i="2"/>
  <c r="A40" i="2"/>
  <c r="A39" i="2"/>
  <c r="A38" i="2"/>
  <c r="A37" i="2"/>
  <c r="A36" i="2"/>
  <c r="A35" i="2"/>
  <c r="A34" i="2"/>
  <c r="A33" i="2"/>
  <c r="A32" i="2"/>
  <c r="A31" i="2"/>
  <c r="A30" i="2"/>
  <c r="A29" i="2"/>
  <c r="A28" i="2"/>
  <c r="A27" i="2"/>
  <c r="A26" i="2"/>
  <c r="A25" i="2"/>
  <c r="A24" i="2"/>
  <c r="A23" i="2"/>
  <c r="A22" i="2"/>
  <c r="A21" i="2"/>
  <c r="A20" i="2"/>
  <c r="A19" i="2"/>
  <c r="A18" i="2"/>
  <c r="A17" i="2"/>
  <c r="A16" i="2"/>
  <c r="A15" i="2"/>
  <c r="A14" i="2"/>
  <c r="A13" i="2"/>
  <c r="A12" i="2"/>
  <c r="A11" i="2"/>
  <c r="A10" i="2"/>
  <c r="A9" i="2"/>
  <c r="A8" i="2"/>
  <c r="A7" i="2"/>
  <c r="A6" i="2"/>
  <c r="A5" i="2"/>
  <c r="A4" i="2"/>
  <c r="A3" i="2"/>
  <c r="A2" i="2"/>
  <c r="F97" i="3"/>
  <c r="I92" i="3"/>
  <c r="I90" i="3"/>
  <c r="H93" i="3"/>
  <c r="H91" i="3"/>
  <c r="G96" i="3"/>
  <c r="G94" i="3"/>
  <c r="G92" i="3"/>
  <c r="G90" i="3"/>
  <c r="F96" i="3"/>
  <c r="F95" i="3"/>
  <c r="F94" i="3"/>
  <c r="F93" i="3"/>
  <c r="F92" i="3"/>
  <c r="F91" i="3"/>
  <c r="F90" i="3"/>
  <c r="E97" i="3"/>
  <c r="E96" i="3"/>
  <c r="E95" i="3"/>
  <c r="E94" i="3"/>
  <c r="E93" i="3"/>
  <c r="E92" i="3"/>
  <c r="E91" i="3"/>
  <c r="E90" i="3"/>
  <c r="D97" i="3"/>
  <c r="D96" i="3"/>
  <c r="D95" i="3"/>
  <c r="D94" i="3"/>
  <c r="D93" i="3"/>
  <c r="D92" i="3"/>
  <c r="D91" i="3"/>
  <c r="D90" i="3"/>
  <c r="C97" i="3"/>
  <c r="C96" i="3"/>
  <c r="C95" i="3"/>
  <c r="C94" i="3"/>
  <c r="C93" i="3"/>
  <c r="C92" i="3"/>
  <c r="C91" i="3"/>
  <c r="B97" i="3"/>
  <c r="B96" i="3"/>
  <c r="B95" i="3"/>
  <c r="B94" i="3"/>
  <c r="A97" i="3"/>
  <c r="A96" i="3"/>
  <c r="A95" i="3"/>
  <c r="A94" i="3"/>
  <c r="A93" i="3"/>
  <c r="A92" i="3"/>
  <c r="A91" i="3"/>
  <c r="A90" i="3"/>
  <c r="A89" i="3"/>
  <c r="A88" i="3"/>
  <c r="A87" i="3"/>
  <c r="A86" i="3"/>
  <c r="A85" i="3"/>
  <c r="A84" i="3"/>
  <c r="A83" i="3"/>
  <c r="A82" i="3"/>
  <c r="A81" i="3"/>
  <c r="A80" i="3"/>
  <c r="A79" i="3"/>
  <c r="A78" i="3"/>
  <c r="A77" i="3"/>
  <c r="A76" i="3"/>
  <c r="A75" i="3"/>
  <c r="A74" i="3"/>
  <c r="A73" i="3"/>
  <c r="A72" i="3"/>
  <c r="A71" i="3"/>
  <c r="A70" i="3"/>
  <c r="A69" i="3"/>
  <c r="A68" i="3"/>
  <c r="A67" i="3"/>
  <c r="A66" i="3"/>
  <c r="A65" i="3"/>
  <c r="A64" i="3"/>
  <c r="A63" i="3"/>
  <c r="A62" i="3"/>
  <c r="A61" i="3"/>
  <c r="A60" i="3"/>
  <c r="A59" i="3"/>
  <c r="A58" i="3"/>
  <c r="A57" i="3"/>
  <c r="A56" i="3"/>
  <c r="A55" i="3"/>
  <c r="A54" i="3"/>
  <c r="A53" i="3"/>
  <c r="A52" i="3"/>
  <c r="A51" i="3"/>
  <c r="A50" i="3"/>
  <c r="A49" i="3"/>
  <c r="A48" i="3"/>
  <c r="A47" i="3"/>
  <c r="A46" i="3"/>
  <c r="A45" i="3"/>
  <c r="A44" i="3"/>
  <c r="A43" i="3"/>
  <c r="A42" i="3"/>
  <c r="A41" i="3"/>
  <c r="A40" i="3"/>
  <c r="A39" i="3"/>
  <c r="A38" i="3"/>
  <c r="A37" i="3"/>
  <c r="A36" i="3"/>
  <c r="A35" i="3"/>
  <c r="A34" i="3"/>
  <c r="A33" i="3"/>
  <c r="A32" i="3"/>
  <c r="A31" i="3"/>
  <c r="A30" i="3"/>
  <c r="A29" i="3"/>
  <c r="A28" i="3"/>
  <c r="A27" i="3"/>
  <c r="A26" i="3"/>
  <c r="A25" i="3"/>
  <c r="A24" i="3"/>
  <c r="A23" i="3"/>
  <c r="A22" i="3"/>
  <c r="A21" i="3"/>
  <c r="A20" i="3"/>
  <c r="A19" i="3"/>
  <c r="A18" i="3"/>
  <c r="A17" i="3"/>
  <c r="A16" i="3"/>
  <c r="A15" i="3"/>
  <c r="A14" i="3"/>
  <c r="A13" i="3"/>
  <c r="A12" i="3"/>
  <c r="A11" i="3"/>
  <c r="A10" i="3"/>
  <c r="A9" i="3"/>
  <c r="A8" i="3"/>
  <c r="A7" i="3"/>
  <c r="A6" i="3"/>
  <c r="A5" i="3"/>
  <c r="A4" i="3"/>
  <c r="A3" i="3"/>
  <c r="A2" i="3"/>
  <c r="B9" i="13" a="1"/>
  <c r="B9" i="13" s="1"/>
  <c r="C95" i="2"/>
  <c r="C96" i="2"/>
  <c r="C97" i="2"/>
  <c r="C98" i="2"/>
  <c r="C99" i="2"/>
  <c r="C100" i="2"/>
  <c r="C101" i="2"/>
  <c r="C102" i="2"/>
  <c r="C103" i="2"/>
  <c r="C104" i="2"/>
  <c r="C105" i="2"/>
  <c r="C106" i="2"/>
  <c r="C107" i="2"/>
  <c r="C108" i="2"/>
  <c r="C109" i="2"/>
  <c r="C110" i="2"/>
  <c r="C111" i="2"/>
  <c r="C112" i="2"/>
  <c r="C113" i="2"/>
  <c r="C114" i="2"/>
  <c r="C115" i="2"/>
  <c r="C116" i="2"/>
  <c r="C117" i="2"/>
  <c r="C118" i="2"/>
  <c r="C119" i="2"/>
  <c r="C120" i="2"/>
  <c r="C121" i="2"/>
  <c r="C122" i="2"/>
  <c r="C123" i="2"/>
  <c r="C124" i="2"/>
  <c r="C125" i="2"/>
  <c r="C126" i="2"/>
  <c r="C127" i="2"/>
  <c r="C128" i="2"/>
  <c r="C129" i="2"/>
  <c r="C130" i="2"/>
  <c r="C131" i="2"/>
  <c r="C132" i="2"/>
  <c r="C133" i="2"/>
  <c r="C134" i="2"/>
  <c r="C135" i="2"/>
  <c r="C136" i="2"/>
  <c r="C137" i="2"/>
  <c r="C138" i="2"/>
  <c r="C139" i="2"/>
  <c r="C140" i="2"/>
  <c r="C141" i="2"/>
  <c r="C142" i="2"/>
  <c r="C143" i="2"/>
  <c r="C144" i="2"/>
  <c r="C145" i="2"/>
  <c r="C146" i="2"/>
  <c r="C147" i="2"/>
  <c r="C148" i="2"/>
  <c r="C149" i="2"/>
  <c r="C150" i="2"/>
  <c r="C151" i="2"/>
  <c r="C152" i="2"/>
  <c r="C153" i="2"/>
  <c r="C154" i="2"/>
  <c r="C155" i="2"/>
  <c r="C156" i="2"/>
  <c r="C157" i="2"/>
  <c r="C158" i="2"/>
  <c r="C159" i="2"/>
  <c r="C160" i="2"/>
  <c r="C161" i="2"/>
  <c r="C162" i="2"/>
  <c r="C163" i="2"/>
  <c r="C164" i="2"/>
  <c r="C165" i="2"/>
  <c r="C166" i="2"/>
  <c r="C167" i="2"/>
  <c r="C168" i="2"/>
  <c r="C169" i="2"/>
  <c r="C170" i="2"/>
  <c r="C171" i="2"/>
  <c r="C172" i="2"/>
  <c r="C173" i="2"/>
  <c r="C174" i="2"/>
  <c r="C175" i="2"/>
  <c r="C176" i="2"/>
  <c r="C177" i="2"/>
  <c r="C178" i="2"/>
  <c r="C179" i="2"/>
  <c r="C180" i="2"/>
  <c r="C181" i="2"/>
  <c r="C182" i="2"/>
  <c r="C183" i="2"/>
  <c r="C184" i="2"/>
  <c r="C185" i="2"/>
  <c r="C186" i="2"/>
  <c r="C187" i="2"/>
  <c r="C188" i="2"/>
  <c r="C189" i="2"/>
  <c r="C190" i="2"/>
  <c r="C191" i="2"/>
  <c r="C192" i="2"/>
  <c r="C193" i="2"/>
  <c r="C194" i="2"/>
  <c r="C195" i="2"/>
  <c r="C196" i="2"/>
  <c r="C197" i="2"/>
  <c r="C198" i="2"/>
  <c r="C199" i="2"/>
  <c r="C200" i="2"/>
  <c r="C201" i="2"/>
  <c r="C202" i="2"/>
  <c r="C203" i="2"/>
  <c r="C204" i="2"/>
  <c r="C205" i="2"/>
  <c r="C206" i="2"/>
  <c r="C207" i="2"/>
  <c r="C208" i="2"/>
  <c r="C209" i="2"/>
  <c r="C210" i="2"/>
  <c r="C211" i="2"/>
  <c r="C212" i="2"/>
  <c r="C213" i="2"/>
  <c r="C214" i="2"/>
  <c r="C215" i="2"/>
  <c r="C216" i="2"/>
  <c r="C217" i="2"/>
  <c r="C218" i="2"/>
  <c r="C219" i="2"/>
  <c r="C220" i="2"/>
  <c r="C221" i="2"/>
  <c r="C222" i="2"/>
  <c r="C223" i="2"/>
  <c r="C224" i="2"/>
  <c r="C225" i="2"/>
  <c r="C226" i="2"/>
  <c r="C227" i="2"/>
  <c r="C228" i="2"/>
  <c r="C229" i="2"/>
  <c r="C230" i="2"/>
  <c r="C231" i="2"/>
  <c r="C232" i="2"/>
  <c r="C233" i="2"/>
  <c r="C234" i="2"/>
  <c r="C235" i="2"/>
  <c r="C236" i="2"/>
  <c r="C237" i="2"/>
  <c r="C238" i="2"/>
  <c r="C239" i="2"/>
  <c r="C240" i="2"/>
  <c r="C241" i="2"/>
  <c r="C242" i="2"/>
  <c r="C243" i="2"/>
  <c r="C244" i="2"/>
  <c r="C245" i="2"/>
  <c r="C246" i="2"/>
  <c r="C247" i="2"/>
  <c r="C248" i="2"/>
  <c r="C249" i="2"/>
  <c r="C250" i="2"/>
  <c r="C251" i="2"/>
  <c r="C252" i="2"/>
  <c r="C253" i="2"/>
  <c r="C254" i="2"/>
  <c r="C255" i="2"/>
  <c r="C256" i="2"/>
  <c r="C257" i="2"/>
  <c r="C258" i="2"/>
  <c r="C259" i="2"/>
  <c r="C260" i="2"/>
  <c r="C261" i="2"/>
  <c r="C262" i="2"/>
  <c r="C263" i="2"/>
  <c r="C264" i="2"/>
  <c r="C265" i="2"/>
  <c r="C266" i="2"/>
  <c r="C267" i="2"/>
  <c r="C268" i="2"/>
  <c r="C269" i="2"/>
  <c r="C270" i="2"/>
  <c r="C271" i="2"/>
  <c r="C272" i="2"/>
  <c r="C273" i="2"/>
  <c r="C274" i="2"/>
  <c r="C275" i="2"/>
  <c r="C276" i="2"/>
  <c r="C277" i="2"/>
  <c r="C278" i="2"/>
  <c r="C279" i="2"/>
  <c r="C280" i="2"/>
  <c r="C281" i="2"/>
  <c r="C282" i="2"/>
  <c r="C283" i="2"/>
  <c r="C284" i="2"/>
  <c r="C285" i="2"/>
  <c r="C286" i="2"/>
  <c r="C287" i="2"/>
  <c r="C288" i="2"/>
  <c r="C289" i="2"/>
  <c r="C290" i="2"/>
  <c r="C291" i="2"/>
  <c r="C292" i="2"/>
  <c r="C293" i="2"/>
  <c r="C294" i="2"/>
  <c r="C295" i="2"/>
  <c r="C296" i="2"/>
  <c r="C297" i="2"/>
  <c r="C298" i="2"/>
  <c r="C299" i="2"/>
  <c r="C300" i="2"/>
  <c r="C301" i="2"/>
  <c r="C302" i="2"/>
  <c r="C303" i="2"/>
  <c r="C304" i="2"/>
  <c r="C305" i="2"/>
  <c r="C306" i="2"/>
  <c r="C307" i="2"/>
  <c r="C308" i="2"/>
  <c r="C309" i="2"/>
  <c r="C310" i="2"/>
  <c r="C311" i="2"/>
  <c r="C312" i="2"/>
  <c r="C313" i="2"/>
  <c r="C314" i="2"/>
  <c r="C315" i="2"/>
  <c r="C316" i="2"/>
  <c r="C317" i="2"/>
  <c r="C318" i="2"/>
  <c r="C319" i="2"/>
  <c r="C320" i="2"/>
  <c r="C321" i="2"/>
  <c r="C322" i="2"/>
  <c r="C323" i="2"/>
  <c r="C324" i="2"/>
  <c r="C325" i="2"/>
  <c r="C326" i="2"/>
  <c r="C327" i="2"/>
  <c r="C328" i="2"/>
  <c r="C329" i="2"/>
  <c r="C330" i="2"/>
  <c r="C331" i="2"/>
  <c r="C332" i="2"/>
  <c r="C333" i="2"/>
  <c r="C334" i="2"/>
  <c r="C335" i="2"/>
  <c r="C336" i="2"/>
  <c r="C337" i="2"/>
  <c r="C338" i="2"/>
  <c r="C339" i="2"/>
  <c r="C340" i="2"/>
  <c r="C341" i="2"/>
  <c r="C342" i="2"/>
  <c r="C343" i="2"/>
  <c r="C344" i="2"/>
  <c r="C345" i="2"/>
  <c r="C346" i="2"/>
  <c r="C347" i="2"/>
  <c r="C348" i="2"/>
  <c r="C349" i="2"/>
  <c r="C350" i="2"/>
  <c r="C351" i="2"/>
  <c r="C352" i="2"/>
  <c r="C353" i="2"/>
  <c r="C354" i="2"/>
  <c r="C355" i="2"/>
  <c r="C356" i="2"/>
  <c r="C357" i="2"/>
  <c r="C358" i="2"/>
  <c r="C359" i="2"/>
  <c r="C360" i="2"/>
  <c r="C361" i="2"/>
  <c r="C362" i="2"/>
  <c r="C363" i="2"/>
  <c r="C364" i="2"/>
  <c r="C365" i="2"/>
  <c r="C366" i="2"/>
  <c r="C367" i="2"/>
  <c r="C368" i="2"/>
  <c r="C369" i="2"/>
  <c r="C370" i="2"/>
  <c r="C371" i="2"/>
  <c r="C372" i="2"/>
  <c r="C373" i="2"/>
  <c r="C374" i="2"/>
  <c r="C375" i="2"/>
  <c r="C376" i="2"/>
  <c r="C377" i="2"/>
  <c r="C378" i="2"/>
  <c r="C379" i="2"/>
  <c r="C380" i="2"/>
  <c r="C381" i="2"/>
  <c r="C382" i="2"/>
  <c r="C383" i="2"/>
  <c r="C384" i="2"/>
  <c r="C385" i="2"/>
  <c r="C386" i="2"/>
  <c r="C387" i="2"/>
  <c r="C388" i="2"/>
  <c r="C389" i="2"/>
  <c r="C390" i="2"/>
  <c r="C391" i="2"/>
  <c r="C392" i="2"/>
  <c r="C393" i="2"/>
  <c r="C394" i="2"/>
  <c r="C395" i="2"/>
  <c r="C396" i="2"/>
  <c r="C397" i="2"/>
  <c r="C398" i="2"/>
  <c r="C399" i="2"/>
  <c r="C400" i="2"/>
  <c r="C401" i="2"/>
  <c r="C402" i="2"/>
  <c r="C403" i="2"/>
  <c r="C404" i="2"/>
  <c r="C405" i="2"/>
  <c r="C406" i="2"/>
  <c r="C407" i="2"/>
  <c r="C408" i="2"/>
  <c r="C409" i="2"/>
  <c r="C410" i="2"/>
  <c r="C411" i="2"/>
  <c r="C412" i="2"/>
  <c r="C413" i="2"/>
  <c r="C414" i="2"/>
  <c r="C415" i="2"/>
  <c r="C416" i="2"/>
  <c r="C417" i="2"/>
  <c r="C418" i="2"/>
  <c r="C419" i="2"/>
  <c r="C420" i="2"/>
  <c r="C421" i="2"/>
  <c r="C422" i="2"/>
  <c r="C423" i="2"/>
  <c r="C424" i="2"/>
  <c r="C425" i="2"/>
  <c r="C426" i="2"/>
  <c r="C427" i="2"/>
  <c r="C428" i="2"/>
  <c r="C429" i="2"/>
  <c r="C430" i="2"/>
  <c r="C431" i="2"/>
  <c r="C432" i="2"/>
  <c r="C433" i="2"/>
  <c r="C434" i="2"/>
  <c r="C435" i="2"/>
  <c r="C436" i="2"/>
  <c r="C437" i="2"/>
  <c r="C438" i="2"/>
  <c r="C439" i="2"/>
  <c r="C440" i="2"/>
  <c r="C441" i="2"/>
  <c r="C442" i="2"/>
  <c r="C443" i="2"/>
  <c r="C444" i="2"/>
  <c r="C445" i="2"/>
  <c r="C446" i="2"/>
  <c r="C447" i="2"/>
  <c r="C448" i="2"/>
  <c r="C449" i="2"/>
  <c r="C450" i="2"/>
  <c r="C451" i="2"/>
  <c r="C452" i="2"/>
  <c r="C453" i="2"/>
  <c r="C454" i="2"/>
  <c r="C455" i="2"/>
  <c r="C456" i="2"/>
  <c r="C457" i="2"/>
  <c r="C458" i="2"/>
  <c r="C459" i="2"/>
  <c r="C460" i="2"/>
  <c r="C461" i="2"/>
  <c r="C462" i="2"/>
  <c r="C463" i="2"/>
  <c r="C464" i="2"/>
  <c r="C465" i="2"/>
  <c r="C466" i="2"/>
  <c r="C467" i="2"/>
  <c r="C468" i="2"/>
  <c r="C469" i="2"/>
  <c r="C470" i="2"/>
  <c r="C471" i="2"/>
  <c r="C472" i="2"/>
  <c r="C473" i="2"/>
  <c r="C474" i="2"/>
  <c r="C475" i="2"/>
  <c r="C476" i="2"/>
  <c r="C477" i="2"/>
  <c r="C478" i="2"/>
  <c r="C479" i="2"/>
  <c r="C480" i="2"/>
  <c r="C481" i="2"/>
  <c r="C482" i="2"/>
  <c r="C483" i="2"/>
  <c r="C484" i="2"/>
  <c r="C485" i="2"/>
  <c r="C486" i="2"/>
  <c r="C487" i="2"/>
  <c r="C488" i="2"/>
  <c r="C489" i="2"/>
  <c r="C490" i="2"/>
  <c r="C491" i="2"/>
  <c r="C492" i="2"/>
  <c r="C493" i="2"/>
  <c r="C494" i="2"/>
  <c r="C495" i="2"/>
  <c r="C496" i="2"/>
  <c r="C497" i="2"/>
  <c r="C498" i="2"/>
  <c r="C499" i="2"/>
  <c r="B8" i="13" a="1"/>
  <c r="B8" i="13" s="1"/>
  <c r="B2" i="13" l="1" a="1"/>
  <c r="B2" i="13" s="1"/>
  <c r="B3" i="13" a="1"/>
  <c r="B3" i="13" s="1"/>
  <c r="B7" i="13" a="1"/>
  <c r="B7" i="13" s="1"/>
  <c r="B5" i="13" a="1"/>
  <c r="B5" i="13" s="1"/>
  <c r="B6" i="13" a="1"/>
  <c r="B6" i="13" s="1"/>
  <c r="B4" i="13" a="1"/>
  <c r="B4" i="13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<sst xmlns="http://schemas.openxmlformats.org/spreadsheetml/2006/main" count="2544" uniqueCount="554">
  <si>
    <t>Current Date Value</t>
  </si>
  <si>
    <t>202503</t>
  </si>
  <si>
    <t>EDM Data Version</t>
  </si>
  <si>
    <t>23.0.0</t>
  </si>
  <si>
    <t>Geocode Version</t>
  </si>
  <si>
    <t>Hazard Version</t>
  </si>
  <si>
    <t>DLM Model Version</t>
  </si>
  <si>
    <t>Validate DLM Model Versions?</t>
  </si>
  <si>
    <t>Y</t>
  </si>
  <si>
    <t>Wildfire HD Model Version</t>
  </si>
  <si>
    <t>SCS HD Model Version</t>
  </si>
  <si>
    <t>Inland Flood HD Model Version</t>
  </si>
  <si>
    <t>Validate HD Model Versions?</t>
  </si>
  <si>
    <t>Export RDM Name</t>
  </si>
  <si>
    <t>Case</t>
  </si>
  <si>
    <t>Count of Failures</t>
  </si>
  <si>
    <t>If Peril = 'ST' and Analysis Profile contains 'Low Frq' -&gt; Analysis Name must end with 'Low_Frq'</t>
  </si>
  <si>
    <t>If Peril = 'ST' and Analysis Profile contains 'High Frq' -&gt; Analysis Name must end with 'High_Frq'</t>
  </si>
  <si>
    <t>If Analysis Profile contains 'HU' and Event Rate contains 'Historical' -&gt; Analysis Name must end with 'LT'</t>
  </si>
  <si>
    <t>If Analysis Profiles contains 'HU' and Event Rate contains 'Stochastic' -&gt; Analysis Name must end with 'NT'</t>
  </si>
  <si>
    <t>If Analysis Profile contains 'FL' and Event Rate contains 'Historical' -&gt; Analysis Name must end with 'LT'</t>
  </si>
  <si>
    <t>If Analysis Profile contains 'FL' and Event Rate contains 'Stochastic' -&gt; Analysis Name must end with 'NT'</t>
  </si>
  <si>
    <t>If Group Name contains '_LT_' -&gt; Group Members cannot contain 'NT'</t>
  </si>
  <si>
    <t>If Group Name contains '_NT_' -&gt; Group Members cannot contain 'LT'</t>
  </si>
  <si>
    <t>Database</t>
  </si>
  <si>
    <t>Store in Data Bridge?</t>
  </si>
  <si>
    <t>Portfolio</t>
  </si>
  <si>
    <t>Import File</t>
  </si>
  <si>
    <t>Base Portfolio?</t>
  </si>
  <si>
    <t>CBHU</t>
  </si>
  <si>
    <t>CBEQ</t>
  </si>
  <si>
    <t>USEQ_Clay_Homes</t>
  </si>
  <si>
    <t>USEQ</t>
  </si>
  <si>
    <t>N</t>
  </si>
  <si>
    <t>USEQ_Clay_21st</t>
  </si>
  <si>
    <t>USEQ_CHFS</t>
  </si>
  <si>
    <t>USEQ_Condo</t>
  </si>
  <si>
    <t>USEQ_Renters</t>
  </si>
  <si>
    <t>USEQ_Manufactured</t>
  </si>
  <si>
    <t>USFF_Geico_75HIP2</t>
  </si>
  <si>
    <t>USFF</t>
  </si>
  <si>
    <t>USFF_Geico_HIP1</t>
  </si>
  <si>
    <t>USFF_Clay_Homes</t>
  </si>
  <si>
    <t>USFF_Clay_21st</t>
  </si>
  <si>
    <t>USFF_Other</t>
  </si>
  <si>
    <t>USFF_CHFS</t>
  </si>
  <si>
    <t>USFF_Condo</t>
  </si>
  <si>
    <t>USFF_Renters</t>
  </si>
  <si>
    <t>USFF_Manufactured</t>
  </si>
  <si>
    <t>USFF_Lender_P</t>
  </si>
  <si>
    <t>USFL_Other_Clay_Home</t>
  </si>
  <si>
    <t>USFL_Other</t>
  </si>
  <si>
    <t>USFL_Other_Clay_21st</t>
  </si>
  <si>
    <t>USFL_Other_Other</t>
  </si>
  <si>
    <t>USFL_Other_Renters</t>
  </si>
  <si>
    <t>USFL_Other_Maufactu</t>
  </si>
  <si>
    <t>USFL_Other_CB</t>
  </si>
  <si>
    <t>USFL_Other_Lender_P</t>
  </si>
  <si>
    <t>USFL_Excess</t>
  </si>
  <si>
    <t>USFL_Commercial</t>
  </si>
  <si>
    <t>USHU_Leak_Geico_75H2</t>
  </si>
  <si>
    <t>USHU_Leak</t>
  </si>
  <si>
    <t>USHU_Leak_Geico_HIP1</t>
  </si>
  <si>
    <t>USHU_Full_Clay_Homes</t>
  </si>
  <si>
    <t>USHU_Full</t>
  </si>
  <si>
    <t>USHU_Full_Clay_21st</t>
  </si>
  <si>
    <t>USHU_Full_Other</t>
  </si>
  <si>
    <t>USHU_Full_Renters</t>
  </si>
  <si>
    <t>USHU_Full_Manufact</t>
  </si>
  <si>
    <t>USHU_Full_Lender_P</t>
  </si>
  <si>
    <t>USHU_Leak_Clay_Homes</t>
  </si>
  <si>
    <t>USHU_Leak_Clay_21st</t>
  </si>
  <si>
    <t>USHU_Leak_Other</t>
  </si>
  <si>
    <t>USHU_Leak_CHFS</t>
  </si>
  <si>
    <t>USHU_Leak_Condo</t>
  </si>
  <si>
    <t>USHU_Leak_Renters</t>
  </si>
  <si>
    <t>USHU_Leak_Manufact</t>
  </si>
  <si>
    <t>USHU_Leak_Lender_P</t>
  </si>
  <si>
    <t>USST_Clay_Homes</t>
  </si>
  <si>
    <t>USST</t>
  </si>
  <si>
    <t>USST_Clay_21st</t>
  </si>
  <si>
    <t>USST_Other</t>
  </si>
  <si>
    <t>USST_CHFS</t>
  </si>
  <si>
    <t>USST_Condo</t>
  </si>
  <si>
    <t>USST_Renters</t>
  </si>
  <si>
    <t>USST_Manufactured</t>
  </si>
  <si>
    <t>USST_Geico_75HIP2</t>
  </si>
  <si>
    <t>USST_Geico_HIP1</t>
  </si>
  <si>
    <t>USST_Lender_P</t>
  </si>
  <si>
    <t>USWF_Clay_Homes</t>
  </si>
  <si>
    <t>USWF</t>
  </si>
  <si>
    <t>USWF_Clay_21st</t>
  </si>
  <si>
    <t>USWF_Other</t>
  </si>
  <si>
    <t>USWF_CHFS</t>
  </si>
  <si>
    <t>USWF_Condo</t>
  </si>
  <si>
    <t>USWF_Renters</t>
  </si>
  <si>
    <t>USWF_Manufactured</t>
  </si>
  <si>
    <t>USWF_Geico_75HIP2</t>
  </si>
  <si>
    <t>USWF_Geico_HIP1</t>
  </si>
  <si>
    <t>USWF_Lender_P</t>
  </si>
  <si>
    <t>Treaty Name</t>
  </si>
  <si>
    <t>Treaty Number</t>
  </si>
  <si>
    <t>Type</t>
  </si>
  <si>
    <t>Per-Risk Limit</t>
  </si>
  <si>
    <t>Occurrence Limit</t>
  </si>
  <si>
    <t>Attachment Point</t>
  </si>
  <si>
    <t>Inception Date</t>
  </si>
  <si>
    <t>Expiration Date</t>
  </si>
  <si>
    <t>Currency</t>
  </si>
  <si>
    <t>Attachment Basis</t>
  </si>
  <si>
    <t>Exposure Level</t>
  </si>
  <si>
    <t>% Covered</t>
  </si>
  <si>
    <t>% Place</t>
  </si>
  <si>
    <t>% Share</t>
  </si>
  <si>
    <t>% Retention</t>
  </si>
  <si>
    <t>Premium</t>
  </si>
  <si>
    <t>Reinstatements</t>
  </si>
  <si>
    <t>% Reinstatement Charge</t>
  </si>
  <si>
    <t>Aggregate Limit</t>
  </si>
  <si>
    <t>Aggregate Deductible Amount</t>
  </si>
  <si>
    <t>Inuring Priority</t>
  </si>
  <si>
    <t>Producer</t>
  </si>
  <si>
    <t>Tags</t>
  </si>
  <si>
    <t>XPR_1_95</t>
  </si>
  <si>
    <t>Working Excess</t>
  </si>
  <si>
    <t>US Dollar</t>
  </si>
  <si>
    <t>Losses Occurring</t>
  </si>
  <si>
    <t>Location</t>
  </si>
  <si>
    <t>XPR_1_100</t>
  </si>
  <si>
    <t>Geico_2.075QS</t>
  </si>
  <si>
    <t>Quota Share</t>
  </si>
  <si>
    <t>Geocode Level</t>
  </si>
  <si>
    <t>% of Grand Total</t>
  </si>
  <si>
    <t>Threshold %</t>
  </si>
  <si>
    <t>Null</t>
  </si>
  <si>
    <t>Coordinate</t>
  </si>
  <si>
    <t>Street address</t>
  </si>
  <si>
    <t>High Resolution Postcode / Street Block</t>
  </si>
  <si>
    <t>Street Name</t>
  </si>
  <si>
    <t>Postcode</t>
  </si>
  <si>
    <t>City District/ Admin4</t>
  </si>
  <si>
    <t>City/Town</t>
  </si>
  <si>
    <t>District / Municipality/Admin3</t>
  </si>
  <si>
    <t>State/Province/ Admin1</t>
  </si>
  <si>
    <t>County/Admin2</t>
  </si>
  <si>
    <t>Analysis Name</t>
  </si>
  <si>
    <t>Analysis Profile</t>
  </si>
  <si>
    <t>Output Profile</t>
  </si>
  <si>
    <t>Event Rate</t>
  </si>
  <si>
    <t>Reinsurance Treaty 1</t>
  </si>
  <si>
    <t>Reinsurance Treaty 2</t>
  </si>
  <si>
    <t>Reinsurance Treaty 3</t>
  </si>
  <si>
    <t>Reinsurance Treaty 4</t>
  </si>
  <si>
    <t>Reinsurance Treaty 5</t>
  </si>
  <si>
    <t>Tag 1</t>
  </si>
  <si>
    <t>Tag 2</t>
  </si>
  <si>
    <t>Tag 3</t>
  </si>
  <si>
    <t>Tag 4</t>
  </si>
  <si>
    <t>Tag 5</t>
  </si>
  <si>
    <t>CBHU_LT</t>
  </si>
  <si>
    <t>DLM CBHU v23</t>
  </si>
  <si>
    <t>Modeling_Output_Profile</t>
  </si>
  <si>
    <t>RMS 2023 Historical Event Rates</t>
  </si>
  <si>
    <t>CBHU_NT</t>
  </si>
  <si>
    <t>RMS 2023 Stochastic Event Rates</t>
  </si>
  <si>
    <t>DLM CBEQ v23</t>
  </si>
  <si>
    <t>RMS Stochastic Event Rates</t>
  </si>
  <si>
    <t>DLM USEQ v23</t>
  </si>
  <si>
    <t>RMS 17.0 NA   Stochastic Event Rates</t>
  </si>
  <si>
    <t>DLM USFF v23</t>
  </si>
  <si>
    <t>USFL_Other_Other_LT</t>
  </si>
  <si>
    <t>DLM USFL (85% SS) v23</t>
  </si>
  <si>
    <t>USFL_Other_Renters_LT</t>
  </si>
  <si>
    <t>USFL_Other_Maufactu_LT</t>
  </si>
  <si>
    <t>USFL_Other_Lender_P_LT</t>
  </si>
  <si>
    <t>USFL_Excess_LT</t>
  </si>
  <si>
    <t>DLM USFL (65% SS) v23</t>
  </si>
  <si>
    <t>USFL_Commercial_LT</t>
  </si>
  <si>
    <t>USHU_Leak_Geico_75H2_LT</t>
  </si>
  <si>
    <t>DLM USHU_Leak (9% SS) v23</t>
  </si>
  <si>
    <t>USHU_Leak_Geico_HIP1_LT</t>
  </si>
  <si>
    <t>USHU_Full_Clay_Homes_LT</t>
  </si>
  <si>
    <t>DLM USHU_Full (85% SS) v23</t>
  </si>
  <si>
    <t>USHU_Full_Clay_21st_LT</t>
  </si>
  <si>
    <t>USHU_Full_Other_LT</t>
  </si>
  <si>
    <t>USHU_Full_Renters_LT</t>
  </si>
  <si>
    <t>USHU_Full_Manufact_LT</t>
  </si>
  <si>
    <t>USHU_Full_Lender_P_LT</t>
  </si>
  <si>
    <t>USHU_Leak_Clay_Homes_LT</t>
  </si>
  <si>
    <t>USHU_Leak_Clay_21st_LT</t>
  </si>
  <si>
    <t>USHU_Leak_Other_LT</t>
  </si>
  <si>
    <t>USHU_Leak_CHFS_LT</t>
  </si>
  <si>
    <t>USHU_Leak_Condo_LT</t>
  </si>
  <si>
    <t>USHU_Leak_Renters_LT</t>
  </si>
  <si>
    <t>USHU_Leak_Manufact_LT</t>
  </si>
  <si>
    <t>USHU_Leak_Lender_P_LT</t>
  </si>
  <si>
    <t>USST_Clay_Homes_High_Frq</t>
  </si>
  <si>
    <t>DLM USST High Frq v23</t>
  </si>
  <si>
    <t>RMS 2013 Stochastic Event Rates</t>
  </si>
  <si>
    <t>USST_Clay_21st_High_Frq</t>
  </si>
  <si>
    <t>USST_Other_High_Frq</t>
  </si>
  <si>
    <t>USST_CHFS_High_Frq</t>
  </si>
  <si>
    <t>USST_Condo_High_Frq</t>
  </si>
  <si>
    <t>USST_Renters_High_Frq</t>
  </si>
  <si>
    <t>USST_Manufactured_High_Frq</t>
  </si>
  <si>
    <t>USST_Geico_75HIP2_High_Frq</t>
  </si>
  <si>
    <t>USST_Geico_HIP1_High_Frq</t>
  </si>
  <si>
    <t>USST_Lender_P_High_Frq</t>
  </si>
  <si>
    <t>USFL_Other_Other_NT</t>
  </si>
  <si>
    <t>DLM USFL (85% SS)</t>
  </si>
  <si>
    <t>USFL_Other_Renters_NT</t>
  </si>
  <si>
    <t>USFL_Other_Maufactu_NT</t>
  </si>
  <si>
    <t>USFL_Other_Lender_P_NT</t>
  </si>
  <si>
    <t>USFL_Excess_NT</t>
  </si>
  <si>
    <t>DLM USFL (65% SS)</t>
  </si>
  <si>
    <t>USFL_Commercial_NT</t>
  </si>
  <si>
    <t>USHU_Leak_Geico_75H2_NT</t>
  </si>
  <si>
    <t>USHU_Leak_Geico_HIP1_NT</t>
  </si>
  <si>
    <t>USHU_Full_Clay_Homes_NT</t>
  </si>
  <si>
    <t>USHU_Full_Clay_21st_NT</t>
  </si>
  <si>
    <t>USHU_Full_Other_NT</t>
  </si>
  <si>
    <t>USHU_Full_Renters_NT</t>
  </si>
  <si>
    <t>USHU_Full_Manufact_NT</t>
  </si>
  <si>
    <t>USHU_Full_Lender_P_NT</t>
  </si>
  <si>
    <t>USHU_Leak_Clay_Homes_NT</t>
  </si>
  <si>
    <t>USHU_Leak_Clay_21st_NT</t>
  </si>
  <si>
    <t>USHU_Leak_Other_NT</t>
  </si>
  <si>
    <t>USHU_Leak_CHFS_NT</t>
  </si>
  <si>
    <t>USHU_Leak_Condo_NT</t>
  </si>
  <si>
    <t>USHU_Leak_Renters_NT</t>
  </si>
  <si>
    <t>USHU_Leak_Manufact_NT</t>
  </si>
  <si>
    <t>USHU_Leak_Lender_P_NT</t>
  </si>
  <si>
    <t>USST_Clay_Homes_Low_Frq</t>
  </si>
  <si>
    <t>DLM USST Low Frq v23</t>
  </si>
  <si>
    <t>USST_Clay_21st_Low_Frq</t>
  </si>
  <si>
    <t>USST_Other_Low_Frq</t>
  </si>
  <si>
    <t>USST_CHFS_Low_Frq</t>
  </si>
  <si>
    <t>USST_Condo_Low_Frq</t>
  </si>
  <si>
    <t>USST_Renters_Low_Frq</t>
  </si>
  <si>
    <t>USST_Manufactured_Low_Frq</t>
  </si>
  <si>
    <t>USST_Geico_75HIP2_Low_Frq</t>
  </si>
  <si>
    <t>USST_Geico_HIP1_Low_Frq</t>
  </si>
  <si>
    <t>USST_Lender_P_Low_Frq</t>
  </si>
  <si>
    <t>Group_Name</t>
  </si>
  <si>
    <t>Item1</t>
  </si>
  <si>
    <t>Item2</t>
  </si>
  <si>
    <t>Item3</t>
  </si>
  <si>
    <t>Item4</t>
  </si>
  <si>
    <t>Item5</t>
  </si>
  <si>
    <t>Item6</t>
  </si>
  <si>
    <t>Item7</t>
  </si>
  <si>
    <t>Item8</t>
  </si>
  <si>
    <t>Item9</t>
  </si>
  <si>
    <t>Item10</t>
  </si>
  <si>
    <t>Item11</t>
  </si>
  <si>
    <t>Item12</t>
  </si>
  <si>
    <t>Item13</t>
  </si>
  <si>
    <t>Item14</t>
  </si>
  <si>
    <t>Item15</t>
  </si>
  <si>
    <t>Item16</t>
  </si>
  <si>
    <t>Item17</t>
  </si>
  <si>
    <t>Item18</t>
  </si>
  <si>
    <t>Item19</t>
  </si>
  <si>
    <t>Item20</t>
  </si>
  <si>
    <t>Item21</t>
  </si>
  <si>
    <t>Item22</t>
  </si>
  <si>
    <t>Item23</t>
  </si>
  <si>
    <t>Item24</t>
  </si>
  <si>
    <t>Item25</t>
  </si>
  <si>
    <t>Item26</t>
  </si>
  <si>
    <t>Item27</t>
  </si>
  <si>
    <t>Item28</t>
  </si>
  <si>
    <t>Item29</t>
  </si>
  <si>
    <t>Item30</t>
  </si>
  <si>
    <t>Item31</t>
  </si>
  <si>
    <t>Item32</t>
  </si>
  <si>
    <t>Item33</t>
  </si>
  <si>
    <t>Item34</t>
  </si>
  <si>
    <t>Item35</t>
  </si>
  <si>
    <t>Item36</t>
  </si>
  <si>
    <t>Item37</t>
  </si>
  <si>
    <t>Item38</t>
  </si>
  <si>
    <t>Item39</t>
  </si>
  <si>
    <t>Item40</t>
  </si>
  <si>
    <t>Item41</t>
  </si>
  <si>
    <t>Item42</t>
  </si>
  <si>
    <t>Item43</t>
  </si>
  <si>
    <t>Item44</t>
  </si>
  <si>
    <t>Item45</t>
  </si>
  <si>
    <t>Item46</t>
  </si>
  <si>
    <t>Item47</t>
  </si>
  <si>
    <t>Item48</t>
  </si>
  <si>
    <t>Item49</t>
  </si>
  <si>
    <t>Item50</t>
  </si>
  <si>
    <t>Peril</t>
  </si>
  <si>
    <t>Product Group</t>
  </si>
  <si>
    <t>Standard CBHU</t>
  </si>
  <si>
    <t>Lender Placed</t>
  </si>
  <si>
    <t>All_xClay</t>
  </si>
  <si>
    <t>WSST CBHU</t>
  </si>
  <si>
    <t>Clayton Homes</t>
  </si>
  <si>
    <t>Clayton 21st Mort</t>
  </si>
  <si>
    <t>Choice &amp; First Select</t>
  </si>
  <si>
    <t>Condominium</t>
  </si>
  <si>
    <t>Renters</t>
  </si>
  <si>
    <t>Manufactured Housing</t>
  </si>
  <si>
    <t>Geico HIP 2.0</t>
  </si>
  <si>
    <t>Geico HIP 1.0</t>
  </si>
  <si>
    <t>Other</t>
  </si>
  <si>
    <t>Standard USFL</t>
  </si>
  <si>
    <t>Excess Flood</t>
  </si>
  <si>
    <t>Standard All_xWF_xIF_xCB</t>
  </si>
  <si>
    <t>Standard_All_xCB</t>
  </si>
  <si>
    <t>Standard All_xWF_xIF</t>
  </si>
  <si>
    <t>Standard All</t>
  </si>
  <si>
    <t>Commercial Flood</t>
  </si>
  <si>
    <t>Standard USHU</t>
  </si>
  <si>
    <t>WSST USFL</t>
  </si>
  <si>
    <t>WSST All</t>
  </si>
  <si>
    <t>WSST All_xWF_xIF_xCB</t>
  </si>
  <si>
    <t>WSST_All_xCB</t>
  </si>
  <si>
    <t>WSST All_xWF_xIF</t>
  </si>
  <si>
    <t>WSST USHU</t>
  </si>
  <si>
    <t>USOW</t>
  </si>
  <si>
    <t>Clayton</t>
  </si>
  <si>
    <t>Flood Solutions</t>
  </si>
  <si>
    <t>Other Flood</t>
  </si>
  <si>
    <t>Model Profiles</t>
  </si>
  <si>
    <t>Output Profiles</t>
  </si>
  <si>
    <t>Event Rate Schemes</t>
  </si>
  <si>
    <t>CBHU RL22</t>
  </si>
  <si>
    <t>By_State_Modeling_Output_Profile</t>
  </si>
  <si>
    <t>2011 Historical Event Rates</t>
  </si>
  <si>
    <t>CBHU_Test_OP</t>
  </si>
  <si>
    <t>2013 Historical Event Rates</t>
  </si>
  <si>
    <t>Copy Of MICHAEL_MODEL_MISS_DLM</t>
  </si>
  <si>
    <t>CChia_Output_Profile</t>
  </si>
  <si>
    <t>2015 Historical Event Rates</t>
  </si>
  <si>
    <t>DLM CBEQ</t>
  </si>
  <si>
    <t>Default</t>
  </si>
  <si>
    <t>2017 MTR Alt - Active Baseline</t>
  </si>
  <si>
    <t xml:space="preserve">HAZARD_Analysis </t>
  </si>
  <si>
    <t>2017 MTR Alt - Forecast SST</t>
  </si>
  <si>
    <t>DLM CBHU</t>
  </si>
  <si>
    <t>HAZARD_Analysis_Sai</t>
  </si>
  <si>
    <t>2017 MTR Alt - Inactive Phase</t>
  </si>
  <si>
    <t>HAZARD_Analysis_Sai_Policy</t>
  </si>
  <si>
    <t>2017 MTR Alt - Lower Bound</t>
  </si>
  <si>
    <t>DLM USEQ</t>
  </si>
  <si>
    <t>JP_Test</t>
  </si>
  <si>
    <t>2017 MTR Alt - Upper Bound</t>
  </si>
  <si>
    <t>2019 MTR Alt - Active Baseline</t>
  </si>
  <si>
    <t>DLM USFF</t>
  </si>
  <si>
    <t>Portfolio_Location</t>
  </si>
  <si>
    <t>2019 MTR Alt - Forecast SST</t>
  </si>
  <si>
    <t>Portfolio_State_Coverage_LocationAAL_GU_GR_RL</t>
  </si>
  <si>
    <t>2019 MTR Alt - Inactive Phase</t>
  </si>
  <si>
    <t>DLM USFL (100% SS) v23</t>
  </si>
  <si>
    <t>RMS Admin1</t>
  </si>
  <si>
    <t>2019 MTR Alt - Lower Bound</t>
  </si>
  <si>
    <t>DLM USFL (100% SS) v25</t>
  </si>
  <si>
    <t>RMS Admin2</t>
  </si>
  <si>
    <t>2019 MTR Alt - Upper Bound</t>
  </si>
  <si>
    <t>RMS Advanced</t>
  </si>
  <si>
    <t>2021 MTR Alt - Active Baseline</t>
  </si>
  <si>
    <t>RMS Cedant</t>
  </si>
  <si>
    <t>2021 MTR Alt - Forecast SST</t>
  </si>
  <si>
    <t>DLM USFL (65% SS) v25</t>
  </si>
  <si>
    <t>RMS Contract</t>
  </si>
  <si>
    <t>2021 MTR Alt - Inactive Phase</t>
  </si>
  <si>
    <t>RMS LOB</t>
  </si>
  <si>
    <t>2021 MTR Alt - Lower Bound</t>
  </si>
  <si>
    <t>RMS PostalCode</t>
  </si>
  <si>
    <t>2021 MTR Alt - Upper Bound</t>
  </si>
  <si>
    <t>DLM USFL (85% SS) v25</t>
  </si>
  <si>
    <t>RMS Risk AAL</t>
  </si>
  <si>
    <t>2023 MTR Alt - Active Baseline</t>
  </si>
  <si>
    <t>DLM USHU_Full (85% SS)</t>
  </si>
  <si>
    <t>RMS Scenario</t>
  </si>
  <si>
    <t>2023 MTR Alt - Forecast SST</t>
  </si>
  <si>
    <t>2023 MTR Alt - Inactive Baseline</t>
  </si>
  <si>
    <t>DLM USHU_Full (85% SS) v25</t>
  </si>
  <si>
    <t>2023 MTR Alt - Lower Bound</t>
  </si>
  <si>
    <t>DLM USHU_Leak (9% SS)</t>
  </si>
  <si>
    <t>2023 MTR Alt - Upper Bound</t>
  </si>
  <si>
    <t>2025 MTR Alt - Active Baseline</t>
  </si>
  <si>
    <t>DLM USHU_Leak (9% SS) v25</t>
  </si>
  <si>
    <t>2025 MTR Alt - Forecast SST</t>
  </si>
  <si>
    <t>DLM USST High Frq</t>
  </si>
  <si>
    <t>2025 MTR Alt - Inactive Baseline</t>
  </si>
  <si>
    <t>2025 MTR Alt - Lower Bound</t>
  </si>
  <si>
    <t>DLM USST High and Low Frq v23 Tornado</t>
  </si>
  <si>
    <t>2025 MTR Alt - Upper Bound</t>
  </si>
  <si>
    <t>DLM USST Low Frq</t>
  </si>
  <si>
    <t>HailCalc Stochastic Event Rates</t>
  </si>
  <si>
    <t>RMS 11.0 Stochastic Event Rates</t>
  </si>
  <si>
    <t>Demo NA HU WF HD Model</t>
  </si>
  <si>
    <t>RMS 11.4 JP   Stochastic Event Rates</t>
  </si>
  <si>
    <t>Flood_SS65</t>
  </si>
  <si>
    <t>RMS 11.4 JP  Long Term (Time-Independent) Rates</t>
  </si>
  <si>
    <t>RMS 17.0 AP Stochastic Event Rates</t>
  </si>
  <si>
    <t>HD USWF xConflagration</t>
  </si>
  <si>
    <t>IAN_MODEL_MISS_DLM_100SS</t>
  </si>
  <si>
    <t>RMS 17.0 NA  Long Term (Time-Independent) Rates</t>
  </si>
  <si>
    <t>IAN_MODEL_MISS_DLM_100SS_v25</t>
  </si>
  <si>
    <t>RMS 17.0 NA Atten Sensitivity for Higher than Avg Model (Time-Dependent Rates)</t>
  </si>
  <si>
    <t>MICHAEL_MODEL_MISS_DLM</t>
  </si>
  <si>
    <t>RMS 17.0 NA Atten Sensitivity for Lower than Avg Model (Time-Dependent Rates)</t>
  </si>
  <si>
    <t>MICHAEL_MODEL_MISS_DLM_100SS</t>
  </si>
  <si>
    <t>RMS 17.0 Stochastic Event Rates</t>
  </si>
  <si>
    <t>MICHAEL_MODEL_MISS_DLM_100SS_Only</t>
  </si>
  <si>
    <t>RMS 18.0 AU Stochastic Event Rates</t>
  </si>
  <si>
    <t>MICHAEL_MODEL_MISS_DLM_Wind_Only</t>
  </si>
  <si>
    <t>RMS 18.0 IN   Stochastic Event Rates</t>
  </si>
  <si>
    <t>Milton Ensemble CEP RL22 (Wind Only)</t>
  </si>
  <si>
    <t>RMS 18.0 KR Long Term (Time-Independent) Rates</t>
  </si>
  <si>
    <t>RMS Default FCHLPM Certified Hurricane Losses 18.0</t>
  </si>
  <si>
    <t>RMS 18.0 NA   Stochastic Event with Induced Seismicity (Time-Dependent Rates)</t>
  </si>
  <si>
    <t>RMS Default FCHLPM Certified Hurricane Losses 18.1 and 18.1.1</t>
  </si>
  <si>
    <t>RMS 18.1  Stochastic Event Rates</t>
  </si>
  <si>
    <t>RMS Default FCHLPM Certified Hurricane Losses 21</t>
  </si>
  <si>
    <t>RMS 18.1 Long Term (Time-Independent) Rates</t>
  </si>
  <si>
    <t>RMS Default FCHLPM Certified Hurricane Losses 22</t>
  </si>
  <si>
    <t xml:space="preserve">RMS 18.1 Long Term (Time-Independent) Rates </t>
  </si>
  <si>
    <t>RMS Default FCHLPM Certified Hurricane Losses 23</t>
  </si>
  <si>
    <t>RMS 18.1 Stochastic Event Rates</t>
  </si>
  <si>
    <t>RMS Default FCHLPM Certified Hurricane Losses 23 (Florida Only)</t>
  </si>
  <si>
    <t>RMS 2011 Stochastic Event Rates</t>
  </si>
  <si>
    <t>RMS Default FCHLPM Certified Hurricane Losses 24 (Florida Only)</t>
  </si>
  <si>
    <t>RMS Default FCHLPM Certified Hurricane Losses 25 (Florida Only)</t>
  </si>
  <si>
    <t>RMS 2015 25yr Climate Variability Event Rates</t>
  </si>
  <si>
    <t>USHU_Leak_CC_2</t>
  </si>
  <si>
    <t>RMS 2015 Stochastic Event Rates</t>
  </si>
  <si>
    <t>USST High and Low Frq v23 Hail</t>
  </si>
  <si>
    <t>RMS 2017 Historical Event Rates</t>
  </si>
  <si>
    <t>USST High and Low Frq v23 Wind</t>
  </si>
  <si>
    <t>RMS 2017 Stochastic Event Rates</t>
  </si>
  <si>
    <t>RMS 2019 Historical Event Rates</t>
  </si>
  <si>
    <t>RMS 2019 Stochastic Event Rates</t>
  </si>
  <si>
    <t>RMS 2021 Historical Event Rates</t>
  </si>
  <si>
    <t>RMS 2021 Stochastic Event Rates</t>
  </si>
  <si>
    <t>RMS 2025 Historical Event Rates</t>
  </si>
  <si>
    <t>RMS 2025 Stochastic Event Rates</t>
  </si>
  <si>
    <t>RMS 22.0  Stochastic Event Rates</t>
  </si>
  <si>
    <t>RMS 22.0 Long Term (Time-Independent) Rates</t>
  </si>
  <si>
    <t>RMS 22.0 Stochastic Event Rates</t>
  </si>
  <si>
    <t>RMS 24.0 Long Term (Time-Independent) Rates</t>
  </si>
  <si>
    <t>RMS 24.0 Stochastic Event Rates</t>
  </si>
  <si>
    <t>RMS 9.0 NA   Stochastic Event Rates</t>
  </si>
  <si>
    <t>RMS 9.0 NA  Long Term (Time-Independent) Rates</t>
  </si>
  <si>
    <t>RMS 9.0 NA Atten Sensitivity Boore&amp;Atkinson</t>
  </si>
  <si>
    <t>RMS 9.0 NA Atten Sensitivity Campbell&amp;Bozorgnia</t>
  </si>
  <si>
    <t>RMS 9.0 NA Atten Sensitivity Chiou&amp;Youngs</t>
  </si>
  <si>
    <t>RMS 9.0 Stochastic Event Rates</t>
  </si>
  <si>
    <t>RMS Stochastic (Cat) Event Rates</t>
  </si>
  <si>
    <t>RMS Stochastic (Non-Cat) Event Rates</t>
  </si>
  <si>
    <t>RMS Stochastic Event Set</t>
  </si>
  <si>
    <t>202503_USHU_LT_Manufactured_Housing_Group</t>
  </si>
  <si>
    <t>202503_USHU_NT_Manufactured_Housing_Group</t>
  </si>
  <si>
    <t>202503_USHU_LT_Renters_Group</t>
  </si>
  <si>
    <t>202503_USHU_NT_Renters_Group</t>
  </si>
  <si>
    <t>202503_USHU_LT_Other_Group</t>
  </si>
  <si>
    <t>202503_USHU_NT_Other_Group</t>
  </si>
  <si>
    <t>202503_USHU_LT_LendarPlaced_Group</t>
  </si>
  <si>
    <t>202503_USHU_NT_LendarPlaced_Group</t>
  </si>
  <si>
    <t>202503_NT_USHU_Group</t>
  </si>
  <si>
    <t>202503_LT_USHU_Group</t>
  </si>
  <si>
    <t>202503_USEQ_Group</t>
  </si>
  <si>
    <t>202503_USFF_Group</t>
  </si>
  <si>
    <t>202503_USWF_Group</t>
  </si>
  <si>
    <t>202503_USST_Group</t>
  </si>
  <si>
    <t>202503_LenderPlaced_LT_All_PerilxWFIF_Group</t>
  </si>
  <si>
    <t>202503_LenderPlaced_LT_All_Peril_Group</t>
  </si>
  <si>
    <t>202503_LenderPlacedxCB_LT_All_PerilxWFIF_Group</t>
  </si>
  <si>
    <t>202503_LenderPlacedxCB_LT_All_Peril_Group</t>
  </si>
  <si>
    <t>202503_Condominium_LT_All_PerilxWFIF_Group</t>
  </si>
  <si>
    <t>202503_Condominium_LT_All_Peril_Group</t>
  </si>
  <si>
    <t>202503_Renters_LT_All_Peril_Group</t>
  </si>
  <si>
    <t>202503_Renters_LT_All_PerilxWFIF_Group</t>
  </si>
  <si>
    <t>202503_Manufactured_Housing_LT_All_Peril_Group</t>
  </si>
  <si>
    <t>202503_Manufactured_Housing_LT_All_PerilxWFIF_Group</t>
  </si>
  <si>
    <t>202503_Other_LT_All_Peril_Group</t>
  </si>
  <si>
    <t>202503_Other_LT_All_PerilxWFIF_Group</t>
  </si>
  <si>
    <t>202503_LenderPlaced_NT_All_PerilxWFIF_Group</t>
  </si>
  <si>
    <t>202503_LenderPlaced_NT_All_Peril_Group</t>
  </si>
  <si>
    <t>202503_LenderPlacedxCB_NT_All_PerilxWFIF_Group</t>
  </si>
  <si>
    <t>202503_LenderPlacedxCB_NT_All_Peril_Group</t>
  </si>
  <si>
    <t>202503_Condominium_NT_All_PerilxWFIF_Group</t>
  </si>
  <si>
    <t>202503_Condominium_NT_All_Peril_Group</t>
  </si>
  <si>
    <t>202503_Renters_NT_All_Peril_Group</t>
  </si>
  <si>
    <t>202503_Renters_NT_All_PerilxWFIF_Group</t>
  </si>
  <si>
    <t>202503_Manufactured_Housing_NT_All_Peril_Group</t>
  </si>
  <si>
    <t>202503_Manufactured_Housing_NT_All_PerilxWFIF_Group</t>
  </si>
  <si>
    <t>202503_Other_NT_All_Peril_Group</t>
  </si>
  <si>
    <t>202503_Other_NT_All_PerilxWFIF_Group</t>
  </si>
  <si>
    <t>202503_USHU_LT_Clay_Group</t>
  </si>
  <si>
    <t>202503_USHU_NT_Clay_Group</t>
  </si>
  <si>
    <t>202503_USHU_LT_Clay21st_Mort_Group</t>
  </si>
  <si>
    <t>202503_USHU_NT_Clay21stMort_Group</t>
  </si>
  <si>
    <t>202503_USHU_LT_ClayHomes_Group</t>
  </si>
  <si>
    <t>202503_USHU_NT_ClayHomes_Group</t>
  </si>
  <si>
    <t>202503_Clay_NT_All_Peril_Group</t>
  </si>
  <si>
    <t>202503_Clay_NT_All_PerilxWFIF_Group</t>
  </si>
  <si>
    <t>202503_Clay21st_Mort_NT_All_Peril_Group</t>
  </si>
  <si>
    <t>202503_Clay21st_Mort_NT_All_PerilxWFIF_Group</t>
  </si>
  <si>
    <t>202503_ClayHomes_NT_All_Peril_Group</t>
  </si>
  <si>
    <t>202503_ClayHomes_NT_All_PerilxWFIF_Group</t>
  </si>
  <si>
    <t>202503_Clay_LT_All_Peril_Group</t>
  </si>
  <si>
    <t>202503_Clay_LT_All_PerilxWFIF_Group</t>
  </si>
  <si>
    <t>202503_Clay21st_Mort_LT_All_Peril_Group</t>
  </si>
  <si>
    <t>202503_Clay21st_Mort_LT_All_PerilxWFIF_Group</t>
  </si>
  <si>
    <t>202503_ClayHomes_LT_All_Peril_Group</t>
  </si>
  <si>
    <t>202503_ClayHomes_LT_All_PerilxWFIF_Group</t>
  </si>
  <si>
    <t>202503_USFF_Clay_Group</t>
  </si>
  <si>
    <t>202503_USST_Clay_Group</t>
  </si>
  <si>
    <t>202503_USEQ_Clay_Group</t>
  </si>
  <si>
    <t>202503_USWF_Clay_Group</t>
  </si>
  <si>
    <t>202503_USFL_LT_FloodSolutions_Group</t>
  </si>
  <si>
    <t>202503_USFL_NT_FloodSolutions_Group</t>
  </si>
  <si>
    <t>202503_USFL_LT_Other_Group</t>
  </si>
  <si>
    <t>202503_USFL_NT_Other_Group</t>
  </si>
  <si>
    <t>202503_USFL_LT_TotalFlood_Group</t>
  </si>
  <si>
    <t>202503_USFL_NT_TotalFlood_Group</t>
  </si>
  <si>
    <t>202503_USST_Condo_Group</t>
  </si>
  <si>
    <t>202503_USST_Manufactured_Housing_Group</t>
  </si>
  <si>
    <t>202503_USST_LenderPlaced_Group</t>
  </si>
  <si>
    <t>202503_USST_Other_Group</t>
  </si>
  <si>
    <t>202503_USST_Clay_Homes_Group</t>
  </si>
  <si>
    <t>202503_USST_Clay_21st_Group</t>
  </si>
  <si>
    <t>202503_USST_Renters_Group</t>
  </si>
  <si>
    <t>202503_LT_USAP_Group</t>
  </si>
  <si>
    <t>202503_LT_USAPxWFIF_Group</t>
  </si>
  <si>
    <t>202503_NT_USAP_Group</t>
  </si>
  <si>
    <t>202503_NT_USAPxWFIF_Group</t>
  </si>
  <si>
    <t>202503_LT_USAPxCB_Group</t>
  </si>
  <si>
    <t>202503_LT_USAPxWFIFxCB_Group</t>
  </si>
  <si>
    <t>202503_NT_USAPxCB_Group</t>
  </si>
  <si>
    <t>202503_NT_USAPxWFIFxCB_Group</t>
  </si>
  <si>
    <t>202503_USST_Geico_HIP2_Group</t>
  </si>
  <si>
    <t>202503_Geico_HIP2_LT_All_Peril_Group</t>
  </si>
  <si>
    <t>202503_Geico_HIP2_LT_All_PerilxWFIF_Group</t>
  </si>
  <si>
    <t>202503_Geico_HIP1_LT_All_Peril_Group</t>
  </si>
  <si>
    <t>202503_Geico_HIP1_LT_All_PerilxWFIF_Group</t>
  </si>
  <si>
    <t>202503_Choice_First_Select_LT_All_Peril_Group</t>
  </si>
  <si>
    <t>202503_Choice_First_Select_LT_All_PerilxWFIF_Group</t>
  </si>
  <si>
    <t>202503_Geico_HIP2_NT_All_Peril_Group</t>
  </si>
  <si>
    <t>202503_Geico_HIP2_NT_All_PerilxWFIF_Group</t>
  </si>
  <si>
    <t>202503_Geico_HIP1_NT_All_Peril_Group</t>
  </si>
  <si>
    <t>202503_Geico_HIP1_NT_All_PerilxWFIF_Group</t>
  </si>
  <si>
    <t>202503_Choice_First_Select_NT_All_Peril_Group</t>
  </si>
  <si>
    <t>202503_Choice_First_Select_NT_All_PerilxWFIF_Group</t>
  </si>
  <si>
    <t>202503_USST_Geico_HIP1_Group</t>
  </si>
  <si>
    <t>202503_USST_Choice_First_Select_Group</t>
  </si>
  <si>
    <t>HD USWF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</si>
</sst>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>
    <font>
      <sz val="10"/>
      <color theme="1"/>
      <name val="Trebuchet"/>
      <family val="2"/>
    </font>
    <font>
      <sz val="8"/>
      <name val="Trebuchet"/>
      <family val="2"/>
    </font>
    <font>
      <b/>
      <sz val="10"/>
      <color theme="1"/>
      <name val="Aptos Narrow"/>
      <family val="2"/>
      <scheme val="minor"/>
    </font>
    <font>
      <sz val="10"/>
      <color theme="1"/>
      <name val="Aptos Narrow"/>
      <family val="2"/>
      <scheme val="minor"/>
    </font>
    <font>
      <b/>
      <sz val="10"/>
      <color rgb="FF000000"/>
      <name val="Aptos Narrow"/>
      <family val="2"/>
      <scheme val="minor"/>
    </font>
    <font>
      <sz val="10"/>
      <color rgb="FF000000"/>
      <name val="Aptos Narrow"/>
      <family val="2"/>
      <scheme val="minor"/>
    </font>
    <font>
      <i/>
      <sz val="10"/>
      <color theme="1"/>
      <name val="Aptos Narrow"/>
      <family val="2"/>
      <scheme val="minor"/>
    </font>
    <font>
      <sz val="10"/>
      <color rgb="FFFF0000"/>
      <name val="Aptos Narrow"/>
      <family val="2"/>
      <scheme val="minor"/>
    </font>
    <font>
      <b/>
      <sz val="10"/>
      <color rgb="FFC00000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22">
    <xf numFmtId="0" fontId="0" fillId="0" borderId="0" xfId="0"/>
    <xf numFmtId="0" fontId="2" fillId="0" borderId="0" xfId="0" applyFont="1"/>
    <xf numFmtId="0" fontId="3" fillId="0" borderId="0" xfId="0" applyFont="1" applyAlignment="1">
      <alignment horizontal="right"/>
    </xf>
    <xf numFmtId="0" fontId="3" fillId="0" borderId="0" xfId="0" applyFont="1"/>
    <xf numFmtId="0" fontId="2" fillId="0" borderId="1" xfId="0" applyFont="1" applyBorder="1"/>
    <xf numFmtId="0" fontId="3" fillId="0" borderId="1" xfId="0" applyFont="1" applyBorder="1"/>
    <xf numFmtId="0" fontId="2" fillId="0" borderId="2" xfId="0" applyFont="1" applyBorder="1"/>
    <xf numFmtId="0" fontId="2" fillId="0" borderId="3" xfId="0" applyFont="1" applyBorder="1"/>
    <xf numFmtId="0" fontId="3" fillId="0" borderId="4" xfId="0" applyFont="1" applyBorder="1"/>
    <xf numFmtId="14" fontId="3" fillId="0" borderId="0" xfId="0" applyNumberFormat="1" applyFont="1"/>
    <xf numFmtId="0" fontId="2" fillId="2" borderId="0" xfId="0" applyFont="1" applyFill="1"/>
    <xf numFmtId="0" fontId="3" fillId="2" borderId="0" xfId="0" applyFont="1" applyFill="1" applyAlignment="1">
      <alignment horizontal="right"/>
    </xf>
    <xf numFmtId="0" fontId="3" fillId="0" borderId="0" xfId="0" applyFont="1" applyAlignment="1">
      <alignment wrapText="1"/>
    </xf>
    <xf numFmtId="0" fontId="2" fillId="0" borderId="0" xfId="0" applyFont="1" applyAlignment="1">
      <alignment wrapText="1"/>
    </xf>
    <xf numFmtId="0" fontId="4" fillId="0" borderId="0" xfId="0" applyFont="1"/>
    <xf numFmtId="49" fontId="3" fillId="0" borderId="0" xfId="0" applyNumberFormat="1" applyFont="1" applyAlignment="1">
      <alignment horizontal="right"/>
    </xf>
    <xf numFmtId="0" fontId="5" fillId="0" borderId="0" xfId="0" applyFont="1"/>
    <xf numFmtId="2" fontId="3" fillId="0" borderId="0" xfId="0" applyNumberFormat="1" applyFont="1"/>
    <xf numFmtId="4" fontId="3" fillId="0" borderId="0" xfId="0" applyNumberFormat="1" applyFont="1"/>
    <xf numFmtId="0" fontId="6" fillId="0" borderId="0" xfId="0" applyFont="1"/>
    <xf numFmtId="0" fontId="7" fillId="3" borderId="0" xfId="0" applyFont="1" applyFill="1"/>
    <xf numFmtId="0" fontId="8" fillId="3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18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1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EF8432-541F-42F9-841B-A3691F77D20B}">
  <dimension ref="A1:D12"/>
  <sheetViews>
    <sheetView zoomScale="110" zoomScaleNormal="110" workbookViewId="0">
      <selection activeCell="C19" sqref="C19"/>
    </sheetView>
  </sheetViews>
  <sheetFormatPr defaultColWidth="9.1796875" defaultRowHeight="13"/>
  <cols>
    <col min="1" max="1" width="25" style="3" bestFit="1" customWidth="1"/>
    <col min="2" max="2" width="24.26953125" style="2" customWidth="1"/>
    <col min="3" max="3" width="28.453125" style="3" bestFit="1" customWidth="1"/>
    <col min="4" max="4" width="31.26953125" style="3" bestFit="1" customWidth="1"/>
    <col min="5" max="5" width="37.26953125" style="3" bestFit="1" customWidth="1"/>
    <col min="6" max="6" width="34.26953125" style="3" bestFit="1" customWidth="1"/>
    <col min="7" max="16384" width="9.1796875" style="3"/>
  </cols>
  <sheetData>
    <row r="1" spans="1:4">
      <c r="A1" s="1" t="s">
        <v>0</v>
      </c>
      <c r="B1" s="15" t="s">
        <v>1</v>
      </c>
      <c r="D1" s="19"/>
    </row>
    <row r="2" spans="1:4">
      <c r="A2" s="1" t="s">
        <v>2</v>
      </c>
      <c r="B2" s="2" t="s">
        <v>3</v>
      </c>
      <c r="D2" s="19"/>
    </row>
    <row r="3" spans="1:4">
      <c r="A3" s="10" t="s">
        <v>4</v>
      </c>
      <c r="B3" s="11" t="s">
        <v>3</v>
      </c>
      <c r="D3" s="19"/>
    </row>
    <row r="4" spans="1:4">
      <c r="A4" s="10" t="s">
        <v>5</v>
      </c>
      <c r="B4" s="11" t="s">
        <v>3</v>
      </c>
      <c r="D4" s="19"/>
    </row>
    <row r="5" spans="1:4">
      <c r="A5" s="1" t="s">
        <v>6</v>
      </c>
      <c r="B5" s="2">
        <v>23</v>
      </c>
      <c r="D5" s="19"/>
    </row>
    <row r="6" spans="1:4">
      <c r="A6" s="1" t="s">
        <v>7</v>
      </c>
      <c r="B6" s="2" t="s">
        <v>8</v>
      </c>
      <c r="D6" s="19"/>
    </row>
    <row r="7" spans="1:4">
      <c r="A7" s="1" t="s">
        <v>9</v>
      </c>
      <c r="B7" s="2">
        <v>2</v>
      </c>
      <c r="D7" s="19"/>
    </row>
    <row r="8" spans="1:4">
      <c r="A8" s="1" t="s">
        <v>10</v>
      </c>
      <c r="B8" s="2">
        <v>1</v>
      </c>
      <c r="D8" s="19"/>
    </row>
    <row r="9" spans="1:4">
      <c r="A9" s="1" t="s">
        <v>11</v>
      </c>
      <c r="B9" s="2">
        <v>1.2</v>
      </c>
      <c r="D9" s="19"/>
    </row>
    <row r="10" spans="1:4">
      <c r="A10" s="1" t="s">
        <v>12</v>
      </c>
      <c r="B10" s="2" t="s">
        <v>8</v>
      </c>
      <c r="D10" s="19"/>
    </row>
    <row r="11" spans="1:4">
      <c r="A11" s="1" t="s">
        <v>13</v>
      </c>
      <c r="B11" s="2" t="str">
        <f>_xlfn.CONCAT("RMS_RDM_", B1, "_QEM_USAP")</f>
        <v>RMS_RDM_202503_QEM_USAP</v>
      </c>
      <c r="D11" s="19"/>
    </row>
    <row r="12" spans="1:4">
      <c r="B12" s="3"/>
      <c r="C12" s="2"/>
    </row>
  </sheetData>
  <dataValidations count="1">
    <dataValidation type="list" allowBlank="1" sqref="B3:B4" xr:uid="{5E8BD8C9-095F-4167-8E51-5228687C4ABC}">
      <formula1>$B$2</formula1>
    </dataValidation>
  </dataValidation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8398C2-6940-480D-884B-4FDE0A7E882E}">
  <dimension ref="A1:B9"/>
  <sheetViews>
    <sheetView workbookViewId="0">
      <selection activeCell="A16" sqref="A16"/>
    </sheetView>
  </sheetViews>
  <sheetFormatPr defaultColWidth="9.1796875" defaultRowHeight="13"/>
  <cols>
    <col min="1" max="1" width="81.1796875" style="12" bestFit="1" customWidth="1"/>
    <col min="2" max="2" width="14.26953125" style="3" bestFit="1" customWidth="1"/>
    <col min="3" max="3" width="19.7265625" style="3" customWidth="1"/>
    <col min="4" max="16384" width="9.1796875" style="3"/>
  </cols>
  <sheetData>
    <row r="1" spans="1:2">
      <c r="A1" s="13" t="s">
        <v>14</v>
      </c>
      <c r="B1" s="14" t="s">
        <v>15</v>
      </c>
    </row>
    <row r="2" spans="1:2">
      <c r="A2" s="12" t="s">
        <v>16</v>
      </c>
      <c r="B2" s="3" cm="1">
        <f t="array" ref="B2">SUMPRODUCT((RIGHT('Analysis Table'!$A$2:$A$498,2)="ST")*(ISNUMBER(SEARCH("Low Frq",'Analysis Table'!$D$2:$D$498)))*(RIGHT('Analysis Table'!$C$2:$C$498,7)&lt;&gt;"Low_Frq"))</f>
        <v>0</v>
      </c>
    </row>
    <row r="3" spans="1:2">
      <c r="A3" s="12" t="s">
        <v>17</v>
      </c>
      <c r="B3" s="3" cm="1">
        <f t="array" ref="B3">SUMPRODUCT((RIGHT('Analysis Table'!$A$2:$A$498,2)="ST")*(ISNUMBER(SEARCH("High Frq",'Analysis Table'!$D$2:$D$498)))*(RIGHT('Analysis Table'!$C$2:$C$498,8)&lt;&gt;"High_Frq"))</f>
        <v>0</v>
      </c>
    </row>
    <row r="4" spans="1:2">
      <c r="A4" s="12" t="s">
        <v>18</v>
      </c>
      <c r="B4" s="3" cm="1">
        <f t="array" ref="B4">SUMPRODUCT((ISNUMBER(SEARCH("HU",'Analysis Table'!$D$2:$D$498)))*(ISNUMBER(SEARCH("Historical",'Analysis Table'!$F$2:$F$498)))*(RIGHT('Analysis Table'!$C$2:$C$498,2)&lt;&gt;"LT"))</f>
        <v>0</v>
      </c>
    </row>
    <row r="5" spans="1:2">
      <c r="A5" s="12" t="s">
        <v>19</v>
      </c>
      <c r="B5" s="3" cm="1">
        <f t="array" ref="B5">SUMPRODUCT((ISNUMBER(SEARCH("HU",'Analysis Table'!$D$2:$D$498)))*(ISNUMBER(SEARCH("Stochastic",'Analysis Table'!$F$2:$F$498)))*(RIGHT('Analysis Table'!$C$2:$C$498,2)&lt;&gt;"NT"))</f>
        <v>0</v>
      </c>
    </row>
    <row r="6" spans="1:2">
      <c r="A6" s="12" t="s">
        <v>20</v>
      </c>
      <c r="B6" s="3" cm="1">
        <f t="array" ref="B6">SUMPRODUCT((ISNUMBER(SEARCH("FL",'Analysis Table'!$D$2:$D$498)))*(ISNUMBER(SEARCH("Historical",'Analysis Table'!$F$2:$F$498)))*(RIGHT('Analysis Table'!$C$2:$C$498,2)&lt;&gt;"LT"))</f>
        <v>0</v>
      </c>
    </row>
    <row r="7" spans="1:2">
      <c r="A7" s="12" t="s">
        <v>21</v>
      </c>
      <c r="B7" s="3" cm="1">
        <f t="array" ref="B7">SUMPRODUCT((ISNUMBER(SEARCH("FL",'Analysis Table'!$D$2:$D$498)))*(ISNUMBER(SEARCH("Stochastic",'Analysis Table'!$F$2:$F$498)))*(RIGHT('Analysis Table'!$C$2:$C$498,2)&lt;&gt;"NT"))</f>
        <v>0</v>
      </c>
    </row>
    <row r="8" spans="1:2">
      <c r="A8" s="12" t="s">
        <v>22</v>
      </c>
      <c r="B8" s="3" cm="1">
        <f t="array" ref="B8">SUMPRODUCT((ISNUMBER(SEARCH("_LT_",Groupings!$A2:$A499)))*((MMULT(--(ISNUMBER(SEARCH("_NT",Groupings!$B2:$AY499))),TRANSPOSE(COLUMN(Groupings!$B:$AY)^0))&gt;0)))</f>
        <v>0</v>
      </c>
    </row>
    <row r="9" spans="1:2">
      <c r="A9" s="12" t="s">
        <v>23</v>
      </c>
      <c r="B9" s="3" cm="1">
        <f t="array" ref="B9">SUMPRODUCT((ISNUMBER(SEARCH("_NT_",Groupings!$A2:$A499)))*((MMULT(--(ISNUMBER(SEARCH("_LT",Groupings!$B2:$AY499))),TRANSPOSE(COLUMN(Groupings!$B:$AY)^0))&gt;0)))</f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7ADA8A-26C3-4697-91CB-0FD9871E340B}">
  <dimension ref="A1:B8"/>
  <sheetViews>
    <sheetView workbookViewId="0">
      <selection activeCell="A2" sqref="A2"/>
    </sheetView>
  </sheetViews>
  <sheetFormatPr defaultColWidth="9.1796875" defaultRowHeight="13"/>
  <cols>
    <col min="1" max="1" width="27.7265625" style="3" bestFit="1" customWidth="1"/>
    <col min="2" max="2" width="27.7265625" style="3" customWidth="1"/>
    <col min="3" max="16384" width="9.1796875" style="3"/>
  </cols>
  <sheetData>
    <row r="1" spans="1:2">
      <c r="A1" s="1" t="s">
        <v>24</v>
      </c>
      <c r="B1" s="1" t="s">
        <v>25</v>
      </c>
    </row>
    <row r="2" spans="1:2">
      <c r="A2" s="3" t="str">
        <f>_xlfn.CONCAT("RMS_EDM_",Metadata!$B$1,"_Quarterly_CBAP")</f>
        <v>RMS_EDM_202503_Quarterly_CBAP</v>
      </c>
      <c r="B2" s="3" t="s">
        <v>8</v>
      </c>
    </row>
    <row r="3" spans="1:2">
      <c r="A3" s="3" t="str">
        <f>_xlfn.CONCAT("RMS_EDM_",Metadata!$B$1,"_Quarterly_USEQ")</f>
        <v>RMS_EDM_202503_Quarterly_USEQ</v>
      </c>
      <c r="B3" s="3" t="s">
        <v>8</v>
      </c>
    </row>
    <row r="4" spans="1:2">
      <c r="A4" s="3" t="str">
        <f>_xlfn.CONCAT("RMS_EDM_",Metadata!$B$1,"_Quarterly_USFF")</f>
        <v>RMS_EDM_202503_Quarterly_USFF</v>
      </c>
      <c r="B4" s="3" t="s">
        <v>8</v>
      </c>
    </row>
    <row r="5" spans="1:2">
      <c r="A5" s="3" t="str">
        <f>_xlfn.CONCAT("RMS_EDM_",Metadata!$B$1,"_Quarterly_USFL")</f>
        <v>RMS_EDM_202503_Quarterly_USFL</v>
      </c>
      <c r="B5" s="3" t="s">
        <v>8</v>
      </c>
    </row>
    <row r="6" spans="1:2">
      <c r="A6" s="3" t="str">
        <f>_xlfn.CONCAT("RMS_EDM_",Metadata!$B$1,"_Quarterly_USHU")</f>
        <v>RMS_EDM_202503_Quarterly_USHU</v>
      </c>
      <c r="B6" s="3" t="s">
        <v>8</v>
      </c>
    </row>
    <row r="7" spans="1:2">
      <c r="A7" s="3" t="str">
        <f>_xlfn.CONCAT("RMS_EDM_",Metadata!$B$1,"_Quarterly_USST")</f>
        <v>RMS_EDM_202503_Quarterly_USST</v>
      </c>
      <c r="B7" s="3" t="s">
        <v>8</v>
      </c>
    </row>
    <row r="8" spans="1:2">
      <c r="A8" s="3" t="str">
        <f>_xlfn.CONCAT("RMS_EDM_",Metadata!$B$1,"_Quarterly_USWF")</f>
        <v>RMS_EDM_202503_Quarterly_USWF</v>
      </c>
      <c r="B8" s="3" t="s">
        <v>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336BC4-9A08-4676-9634-95EBB65A2AEB}">
  <dimension ref="A1:D71"/>
  <sheetViews>
    <sheetView workbookViewId="0">
      <selection activeCell="C1" sqref="C1"/>
    </sheetView>
  </sheetViews>
  <sheetFormatPr defaultColWidth="9.1796875" defaultRowHeight="13"/>
  <cols>
    <col min="1" max="1" width="19.26953125" style="3" customWidth="1"/>
    <col min="2" max="2" width="28.453125" style="3" bestFit="1" customWidth="1"/>
    <col min="3" max="3" width="15.1796875" style="3" bestFit="1" customWidth="1"/>
    <col min="4" max="4" width="12.26953125" style="3" bestFit="1" customWidth="1"/>
    <col min="5" max="16384" width="9.1796875" style="3"/>
  </cols>
  <sheetData>
    <row r="1" spans="1:4">
      <c r="A1" s="6" t="s">
        <v>26</v>
      </c>
      <c r="B1" s="7" t="s">
        <v>24</v>
      </c>
      <c r="C1" s="7" t="s">
        <v>27</v>
      </c>
      <c r="D1" s="1" t="s">
        <v>28</v>
      </c>
    </row>
    <row r="2" spans="1:4">
      <c r="A2" s="8" t="s">
        <v>29</v>
      </c>
      <c r="B2" s="3" t="str">
        <f>_xlfn.CONCAT("RMS_EDM_",Metadata!$B$1,"_Quarterly_CBAP")</f>
        <v>RMS_EDM_202503_Quarterly_CBAP</v>
      </c>
      <c r="C2" s="3" t="s">
        <v>29</v>
      </c>
      <c r="D2" s="3" t="s">
        <v>8</v>
      </c>
    </row>
    <row r="3" spans="1:4">
      <c r="A3" s="8" t="s">
        <v>30</v>
      </c>
      <c r="B3" s="3" t="str">
        <f>_xlfn.CONCAT("RMS_EDM_",Metadata!$B$1,"_Quarterly_CBAP")</f>
        <v>RMS_EDM_202503_Quarterly_CBAP</v>
      </c>
      <c r="C3" s="3" t="s">
        <v>30</v>
      </c>
      <c r="D3" s="3" t="s">
        <v>8</v>
      </c>
    </row>
    <row r="4" spans="1:4">
      <c r="A4" s="8" t="s">
        <v>31</v>
      </c>
      <c r="B4" s="3" t="str">
        <f>_xlfn.CONCAT("RMS_EDM_",Metadata!$B$1,"_Quarterly_USEQ")</f>
        <v>RMS_EDM_202503_Quarterly_USEQ</v>
      </c>
      <c r="C4" s="3" t="s">
        <v>32</v>
      </c>
      <c r="D4" s="3" t="s">
        <v>33</v>
      </c>
    </row>
    <row r="5" spans="1:4">
      <c r="A5" s="8" t="s">
        <v>34</v>
      </c>
      <c r="B5" s="3" t="str">
        <f>_xlfn.CONCAT("RMS_EDM_",Metadata!$B$1,"_Quarterly_USEQ")</f>
        <v>RMS_EDM_202503_Quarterly_USEQ</v>
      </c>
      <c r="C5" s="3" t="s">
        <v>32</v>
      </c>
      <c r="D5" s="3" t="s">
        <v>33</v>
      </c>
    </row>
    <row r="6" spans="1:4">
      <c r="A6" s="8" t="s">
        <v>35</v>
      </c>
      <c r="B6" s="3" t="str">
        <f>_xlfn.CONCAT("RMS_EDM_",Metadata!$B$1,"_Quarterly_USEQ")</f>
        <v>RMS_EDM_202503_Quarterly_USEQ</v>
      </c>
      <c r="C6" s="3" t="s">
        <v>32</v>
      </c>
      <c r="D6" s="3" t="s">
        <v>33</v>
      </c>
    </row>
    <row r="7" spans="1:4">
      <c r="A7" s="8" t="s">
        <v>36</v>
      </c>
      <c r="B7" s="3" t="str">
        <f>_xlfn.CONCAT("RMS_EDM_",Metadata!$B$1,"_Quarterly_USEQ")</f>
        <v>RMS_EDM_202503_Quarterly_USEQ</v>
      </c>
      <c r="C7" s="3" t="s">
        <v>32</v>
      </c>
      <c r="D7" s="3" t="s">
        <v>33</v>
      </c>
    </row>
    <row r="8" spans="1:4">
      <c r="A8" s="8" t="s">
        <v>37</v>
      </c>
      <c r="B8" s="3" t="str">
        <f>_xlfn.CONCAT("RMS_EDM_",Metadata!$B$1,"_Quarterly_USEQ")</f>
        <v>RMS_EDM_202503_Quarterly_USEQ</v>
      </c>
      <c r="C8" s="3" t="s">
        <v>32</v>
      </c>
      <c r="D8" s="3" t="s">
        <v>33</v>
      </c>
    </row>
    <row r="9" spans="1:4">
      <c r="A9" s="3" t="s">
        <v>38</v>
      </c>
      <c r="B9" s="3" t="str">
        <f>_xlfn.CONCAT("RMS_EDM_",Metadata!$B$1,"_Quarterly_USEQ")</f>
        <v>RMS_EDM_202503_Quarterly_USEQ</v>
      </c>
      <c r="C9" s="3" t="s">
        <v>32</v>
      </c>
      <c r="D9" s="3" t="s">
        <v>33</v>
      </c>
    </row>
    <row r="10" spans="1:4">
      <c r="A10" s="3" t="s">
        <v>32</v>
      </c>
      <c r="B10" s="3" t="str">
        <f>_xlfn.CONCAT("RMS_EDM_",Metadata!$B$1,"_Quarterly_USEQ")</f>
        <v>RMS_EDM_202503_Quarterly_USEQ</v>
      </c>
      <c r="C10" s="3" t="s">
        <v>32</v>
      </c>
      <c r="D10" s="3" t="s">
        <v>8</v>
      </c>
    </row>
    <row r="11" spans="1:4">
      <c r="A11" s="3" t="s">
        <v>39</v>
      </c>
      <c r="B11" s="3" t="str">
        <f>_xlfn.CONCAT("RMS_EDM_",Metadata!$B$1,"_Quarterly_USFF")</f>
        <v>RMS_EDM_202503_Quarterly_USFF</v>
      </c>
      <c r="C11" s="3" t="s">
        <v>40</v>
      </c>
      <c r="D11" s="3" t="s">
        <v>33</v>
      </c>
    </row>
    <row r="12" spans="1:4">
      <c r="A12" s="3" t="s">
        <v>41</v>
      </c>
      <c r="B12" s="3" t="str">
        <f>_xlfn.CONCAT("RMS_EDM_",Metadata!$B$1,"_Quarterly_USFF")</f>
        <v>RMS_EDM_202503_Quarterly_USFF</v>
      </c>
      <c r="C12" s="3" t="s">
        <v>40</v>
      </c>
      <c r="D12" s="3" t="s">
        <v>33</v>
      </c>
    </row>
    <row r="13" spans="1:4">
      <c r="A13" s="3" t="s">
        <v>42</v>
      </c>
      <c r="B13" s="3" t="str">
        <f>_xlfn.CONCAT("RMS_EDM_",Metadata!$B$1,"_Quarterly_USFF")</f>
        <v>RMS_EDM_202503_Quarterly_USFF</v>
      </c>
      <c r="C13" s="3" t="s">
        <v>40</v>
      </c>
      <c r="D13" s="3" t="s">
        <v>33</v>
      </c>
    </row>
    <row r="14" spans="1:4">
      <c r="A14" s="3" t="s">
        <v>43</v>
      </c>
      <c r="B14" s="3" t="str">
        <f>_xlfn.CONCAT("RMS_EDM_",Metadata!$B$1,"_Quarterly_USFF")</f>
        <v>RMS_EDM_202503_Quarterly_USFF</v>
      </c>
      <c r="C14" s="3" t="s">
        <v>40</v>
      </c>
      <c r="D14" s="3" t="s">
        <v>33</v>
      </c>
    </row>
    <row r="15" spans="1:4">
      <c r="A15" s="3" t="s">
        <v>44</v>
      </c>
      <c r="B15" s="3" t="str">
        <f>_xlfn.CONCAT("RMS_EDM_",Metadata!$B$1,"_Quarterly_USFF")</f>
        <v>RMS_EDM_202503_Quarterly_USFF</v>
      </c>
      <c r="C15" s="3" t="s">
        <v>40</v>
      </c>
      <c r="D15" s="3" t="s">
        <v>33</v>
      </c>
    </row>
    <row r="16" spans="1:4">
      <c r="A16" s="3" t="s">
        <v>45</v>
      </c>
      <c r="B16" s="3" t="str">
        <f>_xlfn.CONCAT("RMS_EDM_",Metadata!$B$1,"_Quarterly_USFF")</f>
        <v>RMS_EDM_202503_Quarterly_USFF</v>
      </c>
      <c r="C16" s="3" t="s">
        <v>40</v>
      </c>
      <c r="D16" s="3" t="s">
        <v>33</v>
      </c>
    </row>
    <row r="17" spans="1:4">
      <c r="A17" s="3" t="s">
        <v>46</v>
      </c>
      <c r="B17" s="3" t="str">
        <f>_xlfn.CONCAT("RMS_EDM_",Metadata!$B$1,"_Quarterly_USFF")</f>
        <v>RMS_EDM_202503_Quarterly_USFF</v>
      </c>
      <c r="C17" s="3" t="s">
        <v>40</v>
      </c>
      <c r="D17" s="3" t="s">
        <v>33</v>
      </c>
    </row>
    <row r="18" spans="1:4">
      <c r="A18" s="3" t="s">
        <v>47</v>
      </c>
      <c r="B18" s="3" t="str">
        <f>_xlfn.CONCAT("RMS_EDM_",Metadata!$B$1,"_Quarterly_USFF")</f>
        <v>RMS_EDM_202503_Quarterly_USFF</v>
      </c>
      <c r="C18" s="3" t="s">
        <v>40</v>
      </c>
      <c r="D18" s="3" t="s">
        <v>33</v>
      </c>
    </row>
    <row r="19" spans="1:4">
      <c r="A19" s="3" t="s">
        <v>48</v>
      </c>
      <c r="B19" s="3" t="str">
        <f>_xlfn.CONCAT("RMS_EDM_",Metadata!$B$1,"_Quarterly_USFF")</f>
        <v>RMS_EDM_202503_Quarterly_USFF</v>
      </c>
      <c r="C19" s="3" t="s">
        <v>40</v>
      </c>
      <c r="D19" s="3" t="s">
        <v>33</v>
      </c>
    </row>
    <row r="20" spans="1:4">
      <c r="A20" s="3" t="s">
        <v>49</v>
      </c>
      <c r="B20" s="3" t="str">
        <f>_xlfn.CONCAT("RMS_EDM_",Metadata!$B$1,"_Quarterly_USFF")</f>
        <v>RMS_EDM_202503_Quarterly_USFF</v>
      </c>
      <c r="C20" s="3" t="s">
        <v>40</v>
      </c>
      <c r="D20" s="3" t="s">
        <v>33</v>
      </c>
    </row>
    <row r="21" spans="1:4">
      <c r="A21" s="3" t="s">
        <v>40</v>
      </c>
      <c r="B21" s="3" t="str">
        <f>_xlfn.CONCAT("RMS_EDM_",Metadata!$B$1,"_Quarterly_USFF")</f>
        <v>RMS_EDM_202503_Quarterly_USFF</v>
      </c>
      <c r="C21" s="3" t="s">
        <v>40</v>
      </c>
      <c r="D21" s="3" t="s">
        <v>8</v>
      </c>
    </row>
    <row r="22" spans="1:4">
      <c r="A22" s="3" t="s">
        <v>50</v>
      </c>
      <c r="B22" s="3" t="str">
        <f>_xlfn.CONCAT("RMS_EDM_",Metadata!$B$1,"_Quarterly_USFL")</f>
        <v>RMS_EDM_202503_Quarterly_USFL</v>
      </c>
      <c r="C22" s="3" t="s">
        <v>51</v>
      </c>
      <c r="D22" s="3" t="s">
        <v>33</v>
      </c>
    </row>
    <row r="23" spans="1:4">
      <c r="A23" s="3" t="s">
        <v>52</v>
      </c>
      <c r="B23" s="3" t="str">
        <f>_xlfn.CONCAT("RMS_EDM_",Metadata!$B$1,"_Quarterly_USFL")</f>
        <v>RMS_EDM_202503_Quarterly_USFL</v>
      </c>
      <c r="C23" s="3" t="s">
        <v>51</v>
      </c>
      <c r="D23" s="3" t="s">
        <v>33</v>
      </c>
    </row>
    <row r="24" spans="1:4">
      <c r="A24" s="3" t="s">
        <v>53</v>
      </c>
      <c r="B24" s="3" t="str">
        <f>_xlfn.CONCAT("RMS_EDM_",Metadata!$B$1,"_Quarterly_USFL")</f>
        <v>RMS_EDM_202503_Quarterly_USFL</v>
      </c>
      <c r="C24" s="3" t="s">
        <v>51</v>
      </c>
      <c r="D24" s="3" t="s">
        <v>33</v>
      </c>
    </row>
    <row r="25" spans="1:4">
      <c r="A25" s="3" t="s">
        <v>54</v>
      </c>
      <c r="B25" s="3" t="str">
        <f>_xlfn.CONCAT("RMS_EDM_",Metadata!$B$1,"_Quarterly_USFL")</f>
        <v>RMS_EDM_202503_Quarterly_USFL</v>
      </c>
      <c r="C25" s="3" t="s">
        <v>51</v>
      </c>
      <c r="D25" s="3" t="s">
        <v>33</v>
      </c>
    </row>
    <row r="26" spans="1:4">
      <c r="A26" s="3" t="s">
        <v>55</v>
      </c>
      <c r="B26" s="3" t="str">
        <f>_xlfn.CONCAT("RMS_EDM_",Metadata!$B$1,"_Quarterly_USFL")</f>
        <v>RMS_EDM_202503_Quarterly_USFL</v>
      </c>
      <c r="C26" s="3" t="s">
        <v>51</v>
      </c>
      <c r="D26" s="3" t="s">
        <v>33</v>
      </c>
    </row>
    <row r="27" spans="1:4">
      <c r="A27" s="3" t="s">
        <v>56</v>
      </c>
      <c r="B27" s="3" t="str">
        <f>_xlfn.CONCAT("RMS_EDM_",Metadata!$B$1,"_Quarterly_USFL")</f>
        <v>RMS_EDM_202503_Quarterly_USFL</v>
      </c>
      <c r="C27" s="3" t="s">
        <v>51</v>
      </c>
      <c r="D27" s="3" t="s">
        <v>33</v>
      </c>
    </row>
    <row r="28" spans="1:4">
      <c r="A28" s="3" t="s">
        <v>57</v>
      </c>
      <c r="B28" s="3" t="str">
        <f>_xlfn.CONCAT("RMS_EDM_",Metadata!$B$1,"_Quarterly_USFL")</f>
        <v>RMS_EDM_202503_Quarterly_USFL</v>
      </c>
      <c r="C28" s="3" t="s">
        <v>51</v>
      </c>
      <c r="D28" s="3" t="s">
        <v>33</v>
      </c>
    </row>
    <row r="29" spans="1:4">
      <c r="A29" s="3" t="s">
        <v>51</v>
      </c>
      <c r="B29" s="3" t="str">
        <f>_xlfn.CONCAT("RMS_EDM_",Metadata!$B$1,"_Quarterly_USFL")</f>
        <v>RMS_EDM_202503_Quarterly_USFL</v>
      </c>
      <c r="C29" s="3" t="s">
        <v>51</v>
      </c>
      <c r="D29" s="3" t="s">
        <v>8</v>
      </c>
    </row>
    <row r="30" spans="1:4">
      <c r="A30" s="3" t="s">
        <v>58</v>
      </c>
      <c r="B30" s="3" t="str">
        <f>_xlfn.CONCAT("RMS_EDM_",Metadata!$B$1,"_Quarterly_USFL")</f>
        <v>RMS_EDM_202503_Quarterly_USFL</v>
      </c>
      <c r="C30" s="3" t="s">
        <v>58</v>
      </c>
      <c r="D30" s="3" t="s">
        <v>8</v>
      </c>
    </row>
    <row r="31" spans="1:4">
      <c r="A31" s="3" t="s">
        <v>59</v>
      </c>
      <c r="B31" s="3" t="str">
        <f>_xlfn.CONCAT("RMS_EDM_",Metadata!$B$1,"_Quarterly_USFL")</f>
        <v>RMS_EDM_202503_Quarterly_USFL</v>
      </c>
      <c r="C31" s="3" t="s">
        <v>59</v>
      </c>
      <c r="D31" s="3" t="s">
        <v>8</v>
      </c>
    </row>
    <row r="32" spans="1:4">
      <c r="A32" s="3" t="s">
        <v>60</v>
      </c>
      <c r="B32" s="3" t="str">
        <f>_xlfn.CONCAT("RMS_EDM_",Metadata!$B$1,"_Quarterly_USHU")</f>
        <v>RMS_EDM_202503_Quarterly_USHU</v>
      </c>
      <c r="C32" s="3" t="s">
        <v>61</v>
      </c>
      <c r="D32" s="3" t="s">
        <v>33</v>
      </c>
    </row>
    <row r="33" spans="1:4">
      <c r="A33" s="3" t="s">
        <v>62</v>
      </c>
      <c r="B33" s="3" t="str">
        <f>_xlfn.CONCAT("RMS_EDM_",Metadata!$B$1,"_Quarterly_USHU")</f>
        <v>RMS_EDM_202503_Quarterly_USHU</v>
      </c>
      <c r="C33" s="3" t="s">
        <v>61</v>
      </c>
      <c r="D33" s="3" t="s">
        <v>33</v>
      </c>
    </row>
    <row r="34" spans="1:4">
      <c r="A34" s="3" t="s">
        <v>63</v>
      </c>
      <c r="B34" s="3" t="str">
        <f>_xlfn.CONCAT("RMS_EDM_",Metadata!$B$1,"_Quarterly_USHU")</f>
        <v>RMS_EDM_202503_Quarterly_USHU</v>
      </c>
      <c r="C34" s="3" t="s">
        <v>64</v>
      </c>
      <c r="D34" s="3" t="s">
        <v>33</v>
      </c>
    </row>
    <row r="35" spans="1:4">
      <c r="A35" s="3" t="s">
        <v>65</v>
      </c>
      <c r="B35" s="3" t="str">
        <f>_xlfn.CONCAT("RMS_EDM_",Metadata!$B$1,"_Quarterly_USHU")</f>
        <v>RMS_EDM_202503_Quarterly_USHU</v>
      </c>
      <c r="C35" s="3" t="s">
        <v>64</v>
      </c>
      <c r="D35" s="3" t="s">
        <v>33</v>
      </c>
    </row>
    <row r="36" spans="1:4">
      <c r="A36" s="3" t="s">
        <v>66</v>
      </c>
      <c r="B36" s="3" t="str">
        <f>_xlfn.CONCAT("RMS_EDM_",Metadata!$B$1,"_Quarterly_USHU")</f>
        <v>RMS_EDM_202503_Quarterly_USHU</v>
      </c>
      <c r="C36" s="3" t="s">
        <v>64</v>
      </c>
      <c r="D36" s="3" t="s">
        <v>33</v>
      </c>
    </row>
    <row r="37" spans="1:4">
      <c r="A37" s="3" t="s">
        <v>67</v>
      </c>
      <c r="B37" s="3" t="str">
        <f>_xlfn.CONCAT("RMS_EDM_",Metadata!$B$1,"_Quarterly_USHU")</f>
        <v>RMS_EDM_202503_Quarterly_USHU</v>
      </c>
      <c r="C37" s="3" t="s">
        <v>64</v>
      </c>
      <c r="D37" s="3" t="s">
        <v>33</v>
      </c>
    </row>
    <row r="38" spans="1:4">
      <c r="A38" s="3" t="s">
        <v>68</v>
      </c>
      <c r="B38" s="3" t="str">
        <f>_xlfn.CONCAT("RMS_EDM_",Metadata!$B$1,"_Quarterly_USHU")</f>
        <v>RMS_EDM_202503_Quarterly_USHU</v>
      </c>
      <c r="C38" s="3" t="s">
        <v>64</v>
      </c>
      <c r="D38" s="3" t="s">
        <v>33</v>
      </c>
    </row>
    <row r="39" spans="1:4">
      <c r="A39" s="3" t="s">
        <v>69</v>
      </c>
      <c r="B39" s="3" t="str">
        <f>_xlfn.CONCAT("RMS_EDM_",Metadata!$B$1,"_Quarterly_USHU")</f>
        <v>RMS_EDM_202503_Quarterly_USHU</v>
      </c>
      <c r="C39" s="3" t="s">
        <v>64</v>
      </c>
      <c r="D39" s="3" t="s">
        <v>33</v>
      </c>
    </row>
    <row r="40" spans="1:4">
      <c r="A40" s="3" t="s">
        <v>70</v>
      </c>
      <c r="B40" s="3" t="str">
        <f>_xlfn.CONCAT("RMS_EDM_",Metadata!$B$1,"_Quarterly_USHU")</f>
        <v>RMS_EDM_202503_Quarterly_USHU</v>
      </c>
      <c r="C40" s="3" t="s">
        <v>61</v>
      </c>
      <c r="D40" s="3" t="s">
        <v>33</v>
      </c>
    </row>
    <row r="41" spans="1:4">
      <c r="A41" s="3" t="s">
        <v>71</v>
      </c>
      <c r="B41" s="3" t="str">
        <f>_xlfn.CONCAT("RMS_EDM_",Metadata!$B$1,"_Quarterly_USHU")</f>
        <v>RMS_EDM_202503_Quarterly_USHU</v>
      </c>
      <c r="C41" s="3" t="s">
        <v>61</v>
      </c>
      <c r="D41" s="3" t="s">
        <v>33</v>
      </c>
    </row>
    <row r="42" spans="1:4">
      <c r="A42" s="3" t="s">
        <v>72</v>
      </c>
      <c r="B42" s="3" t="str">
        <f>_xlfn.CONCAT("RMS_EDM_",Metadata!$B$1,"_Quarterly_USHU")</f>
        <v>RMS_EDM_202503_Quarterly_USHU</v>
      </c>
      <c r="C42" s="3" t="s">
        <v>61</v>
      </c>
      <c r="D42" s="3" t="s">
        <v>33</v>
      </c>
    </row>
    <row r="43" spans="1:4">
      <c r="A43" s="3" t="s">
        <v>73</v>
      </c>
      <c r="B43" s="3" t="str">
        <f>_xlfn.CONCAT("RMS_EDM_",Metadata!$B$1,"_Quarterly_USHU")</f>
        <v>RMS_EDM_202503_Quarterly_USHU</v>
      </c>
      <c r="C43" s="3" t="s">
        <v>61</v>
      </c>
      <c r="D43" s="3" t="s">
        <v>33</v>
      </c>
    </row>
    <row r="44" spans="1:4">
      <c r="A44" s="3" t="s">
        <v>74</v>
      </c>
      <c r="B44" s="3" t="str">
        <f>_xlfn.CONCAT("RMS_EDM_",Metadata!$B$1,"_Quarterly_USHU")</f>
        <v>RMS_EDM_202503_Quarterly_USHU</v>
      </c>
      <c r="C44" s="3" t="s">
        <v>61</v>
      </c>
      <c r="D44" s="3" t="s">
        <v>33</v>
      </c>
    </row>
    <row r="45" spans="1:4">
      <c r="A45" s="3" t="s">
        <v>75</v>
      </c>
      <c r="B45" s="3" t="str">
        <f>_xlfn.CONCAT("RMS_EDM_",Metadata!$B$1,"_Quarterly_USHU")</f>
        <v>RMS_EDM_202503_Quarterly_USHU</v>
      </c>
      <c r="C45" s="3" t="s">
        <v>61</v>
      </c>
      <c r="D45" s="3" t="s">
        <v>33</v>
      </c>
    </row>
    <row r="46" spans="1:4">
      <c r="A46" s="3" t="s">
        <v>76</v>
      </c>
      <c r="B46" s="3" t="str">
        <f>_xlfn.CONCAT("RMS_EDM_",Metadata!$B$1,"_Quarterly_USHU")</f>
        <v>RMS_EDM_202503_Quarterly_USHU</v>
      </c>
      <c r="C46" s="3" t="s">
        <v>61</v>
      </c>
      <c r="D46" s="3" t="s">
        <v>33</v>
      </c>
    </row>
    <row r="47" spans="1:4">
      <c r="A47" s="3" t="s">
        <v>77</v>
      </c>
      <c r="B47" s="3" t="str">
        <f>_xlfn.CONCAT("RMS_EDM_",Metadata!$B$1,"_Quarterly_USHU")</f>
        <v>RMS_EDM_202503_Quarterly_USHU</v>
      </c>
      <c r="C47" s="3" t="s">
        <v>61</v>
      </c>
      <c r="D47" s="3" t="s">
        <v>33</v>
      </c>
    </row>
    <row r="48" spans="1:4">
      <c r="A48" s="3" t="s">
        <v>61</v>
      </c>
      <c r="B48" s="3" t="str">
        <f>_xlfn.CONCAT("RMS_EDM_",Metadata!$B$1,"_Quarterly_USHU")</f>
        <v>RMS_EDM_202503_Quarterly_USHU</v>
      </c>
      <c r="C48" s="3" t="s">
        <v>61</v>
      </c>
      <c r="D48" s="3" t="s">
        <v>8</v>
      </c>
    </row>
    <row r="49" spans="1:4">
      <c r="A49" s="3" t="s">
        <v>64</v>
      </c>
      <c r="B49" s="3" t="str">
        <f>_xlfn.CONCAT("RMS_EDM_",Metadata!$B$1,"_Quarterly_USHU")</f>
        <v>RMS_EDM_202503_Quarterly_USHU</v>
      </c>
      <c r="C49" s="3" t="s">
        <v>64</v>
      </c>
      <c r="D49" s="3" t="s">
        <v>8</v>
      </c>
    </row>
    <row r="50" spans="1:4">
      <c r="A50" s="3" t="s">
        <v>78</v>
      </c>
      <c r="B50" s="3" t="str">
        <f>_xlfn.CONCAT("RMS_EDM_",Metadata!$B$1,"_Quarterly_USST")</f>
        <v>RMS_EDM_202503_Quarterly_USST</v>
      </c>
      <c r="C50" s="3" t="s">
        <v>79</v>
      </c>
      <c r="D50" s="3" t="s">
        <v>33</v>
      </c>
    </row>
    <row r="51" spans="1:4">
      <c r="A51" s="3" t="s">
        <v>80</v>
      </c>
      <c r="B51" s="3" t="str">
        <f>_xlfn.CONCAT("RMS_EDM_",Metadata!$B$1,"_Quarterly_USST")</f>
        <v>RMS_EDM_202503_Quarterly_USST</v>
      </c>
      <c r="C51" s="3" t="s">
        <v>79</v>
      </c>
      <c r="D51" s="3" t="s">
        <v>33</v>
      </c>
    </row>
    <row r="52" spans="1:4">
      <c r="A52" s="3" t="s">
        <v>81</v>
      </c>
      <c r="B52" s="3" t="str">
        <f>_xlfn.CONCAT("RMS_EDM_",Metadata!$B$1,"_Quarterly_USST")</f>
        <v>RMS_EDM_202503_Quarterly_USST</v>
      </c>
      <c r="C52" s="3" t="s">
        <v>79</v>
      </c>
      <c r="D52" s="3" t="s">
        <v>33</v>
      </c>
    </row>
    <row r="53" spans="1:4">
      <c r="A53" s="3" t="s">
        <v>82</v>
      </c>
      <c r="B53" s="3" t="str">
        <f>_xlfn.CONCAT("RMS_EDM_",Metadata!$B$1,"_Quarterly_USST")</f>
        <v>RMS_EDM_202503_Quarterly_USST</v>
      </c>
      <c r="C53" s="3" t="s">
        <v>79</v>
      </c>
      <c r="D53" s="3" t="s">
        <v>33</v>
      </c>
    </row>
    <row r="54" spans="1:4">
      <c r="A54" s="3" t="s">
        <v>83</v>
      </c>
      <c r="B54" s="3" t="str">
        <f>_xlfn.CONCAT("RMS_EDM_",Metadata!$B$1,"_Quarterly_USST")</f>
        <v>RMS_EDM_202503_Quarterly_USST</v>
      </c>
      <c r="C54" s="3" t="s">
        <v>79</v>
      </c>
      <c r="D54" s="3" t="s">
        <v>33</v>
      </c>
    </row>
    <row r="55" spans="1:4">
      <c r="A55" s="3" t="s">
        <v>84</v>
      </c>
      <c r="B55" s="3" t="str">
        <f>_xlfn.CONCAT("RMS_EDM_",Metadata!$B$1,"_Quarterly_USST")</f>
        <v>RMS_EDM_202503_Quarterly_USST</v>
      </c>
      <c r="C55" s="3" t="s">
        <v>79</v>
      </c>
      <c r="D55" s="3" t="s">
        <v>33</v>
      </c>
    </row>
    <row r="56" spans="1:4">
      <c r="A56" s="3" t="s">
        <v>85</v>
      </c>
      <c r="B56" s="3" t="str">
        <f>_xlfn.CONCAT("RMS_EDM_",Metadata!$B$1,"_Quarterly_USST")</f>
        <v>RMS_EDM_202503_Quarterly_USST</v>
      </c>
      <c r="C56" s="3" t="s">
        <v>79</v>
      </c>
      <c r="D56" s="3" t="s">
        <v>33</v>
      </c>
    </row>
    <row r="57" spans="1:4">
      <c r="A57" s="3" t="s">
        <v>86</v>
      </c>
      <c r="B57" s="3" t="str">
        <f>_xlfn.CONCAT("RMS_EDM_",Metadata!$B$1,"_Quarterly_USST")</f>
        <v>RMS_EDM_202503_Quarterly_USST</v>
      </c>
      <c r="C57" s="3" t="s">
        <v>79</v>
      </c>
      <c r="D57" s="3" t="s">
        <v>33</v>
      </c>
    </row>
    <row r="58" spans="1:4">
      <c r="A58" s="3" t="s">
        <v>87</v>
      </c>
      <c r="B58" s="3" t="str">
        <f>_xlfn.CONCAT("RMS_EDM_",Metadata!$B$1,"_Quarterly_USST")</f>
        <v>RMS_EDM_202503_Quarterly_USST</v>
      </c>
      <c r="C58" s="3" t="s">
        <v>79</v>
      </c>
      <c r="D58" s="3" t="s">
        <v>33</v>
      </c>
    </row>
    <row r="59" spans="1:4">
      <c r="A59" s="3" t="s">
        <v>88</v>
      </c>
      <c r="B59" s="3" t="str">
        <f>_xlfn.CONCAT("RMS_EDM_",Metadata!$B$1,"_Quarterly_USST")</f>
        <v>RMS_EDM_202503_Quarterly_USST</v>
      </c>
      <c r="C59" s="3" t="s">
        <v>79</v>
      </c>
      <c r="D59" s="3" t="s">
        <v>33</v>
      </c>
    </row>
    <row r="60" spans="1:4">
      <c r="A60" s="3" t="s">
        <v>79</v>
      </c>
      <c r="B60" s="3" t="str">
        <f>_xlfn.CONCAT("RMS_EDM_",Metadata!$B$1,"_Quarterly_USST")</f>
        <v>RMS_EDM_202503_Quarterly_USST</v>
      </c>
      <c r="C60" s="3" t="s">
        <v>79</v>
      </c>
      <c r="D60" s="3" t="s">
        <v>8</v>
      </c>
    </row>
    <row r="61" spans="1:4">
      <c r="A61" s="3" t="s">
        <v>89</v>
      </c>
      <c r="B61" s="3" t="str">
        <f>_xlfn.CONCAT("RMS_EDM_",Metadata!$B$1,"_Quarterly_USWF")</f>
        <v>RMS_EDM_202503_Quarterly_USWF</v>
      </c>
      <c r="C61" s="3" t="s">
        <v>90</v>
      </c>
      <c r="D61" s="3" t="s">
        <v>33</v>
      </c>
    </row>
    <row r="62" spans="1:4">
      <c r="A62" s="3" t="s">
        <v>91</v>
      </c>
      <c r="B62" s="3" t="str">
        <f>_xlfn.CONCAT("RMS_EDM_",Metadata!$B$1,"_Quarterly_USWF")</f>
        <v>RMS_EDM_202503_Quarterly_USWF</v>
      </c>
      <c r="C62" s="3" t="s">
        <v>90</v>
      </c>
      <c r="D62" s="3" t="s">
        <v>33</v>
      </c>
    </row>
    <row r="63" spans="1:4">
      <c r="A63" s="3" t="s">
        <v>92</v>
      </c>
      <c r="B63" s="3" t="str">
        <f>_xlfn.CONCAT("RMS_EDM_",Metadata!$B$1,"_Quarterly_USWF")</f>
        <v>RMS_EDM_202503_Quarterly_USWF</v>
      </c>
      <c r="C63" s="3" t="s">
        <v>90</v>
      </c>
      <c r="D63" s="3" t="s">
        <v>33</v>
      </c>
    </row>
    <row r="64" spans="1:4">
      <c r="A64" s="3" t="s">
        <v>93</v>
      </c>
      <c r="B64" s="3" t="str">
        <f>_xlfn.CONCAT("RMS_EDM_",Metadata!$B$1,"_Quarterly_USWF")</f>
        <v>RMS_EDM_202503_Quarterly_USWF</v>
      </c>
      <c r="C64" s="3" t="s">
        <v>90</v>
      </c>
      <c r="D64" s="3" t="s">
        <v>33</v>
      </c>
    </row>
    <row r="65" spans="1:4">
      <c r="A65" s="3" t="s">
        <v>94</v>
      </c>
      <c r="B65" s="3" t="str">
        <f>_xlfn.CONCAT("RMS_EDM_",Metadata!$B$1,"_Quarterly_USWF")</f>
        <v>RMS_EDM_202503_Quarterly_USWF</v>
      </c>
      <c r="C65" s="3" t="s">
        <v>90</v>
      </c>
      <c r="D65" s="3" t="s">
        <v>33</v>
      </c>
    </row>
    <row r="66" spans="1:4">
      <c r="A66" s="3" t="s">
        <v>95</v>
      </c>
      <c r="B66" s="3" t="str">
        <f>_xlfn.CONCAT("RMS_EDM_",Metadata!$B$1,"_Quarterly_USWF")</f>
        <v>RMS_EDM_202503_Quarterly_USWF</v>
      </c>
      <c r="C66" s="3" t="s">
        <v>90</v>
      </c>
      <c r="D66" s="3" t="s">
        <v>33</v>
      </c>
    </row>
    <row r="67" spans="1:4">
      <c r="A67" s="3" t="s">
        <v>96</v>
      </c>
      <c r="B67" s="3" t="str">
        <f>_xlfn.CONCAT("RMS_EDM_",Metadata!$B$1,"_Quarterly_USWF")</f>
        <v>RMS_EDM_202503_Quarterly_USWF</v>
      </c>
      <c r="C67" s="3" t="s">
        <v>90</v>
      </c>
      <c r="D67" s="3" t="s">
        <v>33</v>
      </c>
    </row>
    <row r="68" spans="1:4">
      <c r="A68" s="3" t="s">
        <v>97</v>
      </c>
      <c r="B68" s="3" t="str">
        <f>_xlfn.CONCAT("RMS_EDM_",Metadata!$B$1,"_Quarterly_USWF")</f>
        <v>RMS_EDM_202503_Quarterly_USWF</v>
      </c>
      <c r="C68" s="3" t="s">
        <v>90</v>
      </c>
      <c r="D68" s="3" t="s">
        <v>33</v>
      </c>
    </row>
    <row r="69" spans="1:4">
      <c r="A69" s="3" t="s">
        <v>98</v>
      </c>
      <c r="B69" s="3" t="str">
        <f>_xlfn.CONCAT("RMS_EDM_",Metadata!$B$1,"_Quarterly_USWF")</f>
        <v>RMS_EDM_202503_Quarterly_USWF</v>
      </c>
      <c r="C69" s="3" t="s">
        <v>90</v>
      </c>
      <c r="D69" s="3" t="s">
        <v>33</v>
      </c>
    </row>
    <row r="70" spans="1:4">
      <c r="A70" s="3" t="s">
        <v>99</v>
      </c>
      <c r="B70" s="3" t="str">
        <f>_xlfn.CONCAT("RMS_EDM_",Metadata!$B$1,"_Quarterly_USWF")</f>
        <v>RMS_EDM_202503_Quarterly_USWF</v>
      </c>
      <c r="C70" s="3" t="s">
        <v>90</v>
      </c>
      <c r="D70" s="3" t="s">
        <v>33</v>
      </c>
    </row>
    <row r="71" spans="1:4">
      <c r="A71" s="3" t="s">
        <v>90</v>
      </c>
      <c r="B71" s="3" t="str">
        <f>_xlfn.CONCAT("RMS_EDM_",Metadata!$B$1,"_Quarterly_USWF")</f>
        <v>RMS_EDM_202503_Quarterly_USWF</v>
      </c>
      <c r="C71" s="3" t="s">
        <v>90</v>
      </c>
      <c r="D71" s="3" t="s">
        <v>8</v>
      </c>
    </row>
  </sheetData>
  <dataValidations count="2">
    <dataValidation allowBlank="1" showInputMessage="1" showErrorMessage="1" sqref="C1:C1048576 B501:B1048576" xr:uid="{3C5A23B0-EC96-4A8D-9F7F-52CA85AD18B9}"/>
    <dataValidation type="list" allowBlank="1" showInputMessage="1" showErrorMessage="1" sqref="B2:B500" xr:uid="{970F6ABC-33DB-4EB9-BD68-E8FA90771BEB}">
      <formula1>_xlnm.Database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890844-0AE0-42E6-897C-8D111AA734DC}">
  <dimension ref="A1:W4"/>
  <sheetViews>
    <sheetView workbookViewId="0">
      <selection activeCell="G2" sqref="G2"/>
    </sheetView>
  </sheetViews>
  <sheetFormatPr defaultColWidth="9.1796875" defaultRowHeight="13"/>
  <cols>
    <col min="1" max="1" width="15.54296875" style="3" bestFit="1" customWidth="1"/>
    <col min="2" max="2" width="14.54296875" style="3" bestFit="1" customWidth="1"/>
    <col min="3" max="3" width="17.7265625" style="3" customWidth="1"/>
    <col min="4" max="4" width="13.7265625" style="3" bestFit="1" customWidth="1"/>
    <col min="5" max="5" width="16.7265625" style="3" bestFit="1" customWidth="1"/>
    <col min="6" max="6" width="16.81640625" style="3" bestFit="1" customWidth="1"/>
    <col min="7" max="7" width="14.26953125" style="3" bestFit="1" customWidth="1"/>
    <col min="8" max="8" width="15.1796875" style="3" bestFit="1" customWidth="1"/>
    <col min="9" max="9" width="9.26953125" style="3" bestFit="1" customWidth="1"/>
    <col min="10" max="10" width="17.1796875" style="3" bestFit="1" customWidth="1"/>
    <col min="11" max="11" width="15.1796875" style="3" bestFit="1" customWidth="1"/>
    <col min="12" max="12" width="10.54296875" style="3" bestFit="1" customWidth="1"/>
    <col min="13" max="13" width="8.1796875" style="3" bestFit="1" customWidth="1"/>
    <col min="14" max="14" width="8.453125" style="3" bestFit="1" customWidth="1"/>
    <col min="15" max="15" width="11.81640625" style="3" bestFit="1" customWidth="1"/>
    <col min="16" max="16" width="9.26953125" style="3" bestFit="1" customWidth="1"/>
    <col min="17" max="17" width="15.26953125" style="3" bestFit="1" customWidth="1"/>
    <col min="18" max="18" width="23.54296875" style="3" bestFit="1" customWidth="1"/>
    <col min="19" max="19" width="15.7265625" style="3" bestFit="1" customWidth="1"/>
    <col min="20" max="20" width="28.81640625" style="3" bestFit="1" customWidth="1"/>
    <col min="21" max="21" width="14.7265625" style="3" bestFit="1" customWidth="1"/>
    <col min="22" max="22" width="9.26953125" style="3" bestFit="1" customWidth="1"/>
    <col min="23" max="23" width="5.453125" style="3" bestFit="1" customWidth="1"/>
    <col min="24" max="16384" width="9.1796875" style="3"/>
  </cols>
  <sheetData>
    <row r="1" spans="1:23">
      <c r="A1" s="1" t="s">
        <v>100</v>
      </c>
      <c r="B1" s="1" t="s">
        <v>101</v>
      </c>
      <c r="C1" s="1" t="s">
        <v>102</v>
      </c>
      <c r="D1" s="1" t="s">
        <v>103</v>
      </c>
      <c r="E1" s="1" t="s">
        <v>104</v>
      </c>
      <c r="F1" s="1" t="s">
        <v>105</v>
      </c>
      <c r="G1" s="1" t="s">
        <v>106</v>
      </c>
      <c r="H1" s="1" t="s">
        <v>107</v>
      </c>
      <c r="I1" s="1" t="s">
        <v>108</v>
      </c>
      <c r="J1" s="1" t="s">
        <v>109</v>
      </c>
      <c r="K1" s="1" t="s">
        <v>110</v>
      </c>
      <c r="L1" s="1" t="s">
        <v>111</v>
      </c>
      <c r="M1" s="1" t="s">
        <v>112</v>
      </c>
      <c r="N1" s="1" t="s">
        <v>113</v>
      </c>
      <c r="O1" s="1" t="s">
        <v>114</v>
      </c>
      <c r="P1" s="1" t="s">
        <v>115</v>
      </c>
      <c r="Q1" s="1" t="s">
        <v>116</v>
      </c>
      <c r="R1" s="1" t="s">
        <v>117</v>
      </c>
      <c r="S1" s="1" t="s">
        <v>118</v>
      </c>
      <c r="T1" s="1" t="s">
        <v>119</v>
      </c>
      <c r="U1" s="1" t="s">
        <v>120</v>
      </c>
      <c r="V1" s="1" t="s">
        <v>121</v>
      </c>
      <c r="W1" s="1" t="s">
        <v>122</v>
      </c>
    </row>
    <row r="2" spans="1:23">
      <c r="A2" s="3" t="s">
        <v>123</v>
      </c>
      <c r="B2" s="3" t="s">
        <v>123</v>
      </c>
      <c r="C2" s="3" t="s">
        <v>124</v>
      </c>
      <c r="D2" s="18">
        <v>3000000</v>
      </c>
      <c r="E2" s="18">
        <v>9000000</v>
      </c>
      <c r="F2" s="18">
        <v>2000000</v>
      </c>
      <c r="G2" s="9">
        <v>36526</v>
      </c>
      <c r="H2" s="9">
        <v>47848</v>
      </c>
      <c r="I2" s="3" t="s">
        <v>125</v>
      </c>
      <c r="J2" s="3" t="s">
        <v>126</v>
      </c>
      <c r="K2" s="3" t="s">
        <v>127</v>
      </c>
      <c r="L2" s="17">
        <v>100</v>
      </c>
      <c r="M2" s="17">
        <v>95</v>
      </c>
      <c r="N2" s="17">
        <v>100</v>
      </c>
      <c r="O2" s="17">
        <v>100</v>
      </c>
      <c r="P2" s="17">
        <v>0</v>
      </c>
      <c r="Q2" s="3">
        <v>99</v>
      </c>
      <c r="R2" s="3">
        <v>0</v>
      </c>
      <c r="S2" s="3">
        <v>0</v>
      </c>
      <c r="T2" s="3">
        <v>0</v>
      </c>
      <c r="U2" s="3">
        <v>1</v>
      </c>
    </row>
    <row r="3" spans="1:23">
      <c r="A3" s="3" t="s">
        <v>128</v>
      </c>
      <c r="B3" s="3" t="s">
        <v>128</v>
      </c>
      <c r="C3" s="3" t="s">
        <v>124</v>
      </c>
      <c r="D3" s="18">
        <v>5000000</v>
      </c>
      <c r="E3" s="18">
        <v>10000000</v>
      </c>
      <c r="F3" s="18">
        <v>5000000</v>
      </c>
      <c r="G3" s="9">
        <v>36526</v>
      </c>
      <c r="H3" s="9">
        <v>47848</v>
      </c>
      <c r="I3" s="3" t="s">
        <v>125</v>
      </c>
      <c r="J3" s="3" t="s">
        <v>126</v>
      </c>
      <c r="K3" s="3" t="s">
        <v>127</v>
      </c>
      <c r="L3" s="17">
        <v>100</v>
      </c>
      <c r="M3" s="17">
        <v>100</v>
      </c>
      <c r="N3" s="17">
        <v>100</v>
      </c>
      <c r="O3" s="17">
        <v>100</v>
      </c>
      <c r="P3" s="17">
        <v>0</v>
      </c>
      <c r="Q3" s="3">
        <v>99</v>
      </c>
      <c r="R3" s="3">
        <v>0</v>
      </c>
      <c r="S3" s="3">
        <v>0</v>
      </c>
      <c r="T3" s="3">
        <v>0</v>
      </c>
      <c r="U3" s="3">
        <v>1</v>
      </c>
    </row>
    <row r="4" spans="1:23">
      <c r="A4" s="3" t="s">
        <v>129</v>
      </c>
      <c r="B4" s="3" t="s">
        <v>129</v>
      </c>
      <c r="C4" s="3" t="s">
        <v>130</v>
      </c>
      <c r="D4" s="18">
        <v>3000000</v>
      </c>
      <c r="E4" s="18">
        <v>169835616</v>
      </c>
      <c r="F4" s="18">
        <v>0</v>
      </c>
      <c r="G4" s="9">
        <v>36526</v>
      </c>
      <c r="H4" s="9">
        <v>47848</v>
      </c>
      <c r="I4" s="3" t="s">
        <v>125</v>
      </c>
      <c r="J4" s="3" t="s">
        <v>126</v>
      </c>
      <c r="K4" s="3" t="s">
        <v>127</v>
      </c>
      <c r="L4" s="17">
        <v>100</v>
      </c>
      <c r="M4" s="17">
        <v>75</v>
      </c>
      <c r="N4" s="17">
        <v>100</v>
      </c>
      <c r="O4" s="17">
        <v>100</v>
      </c>
      <c r="P4" s="17">
        <v>0</v>
      </c>
      <c r="Q4" s="3">
        <v>99</v>
      </c>
      <c r="R4" s="3">
        <v>0</v>
      </c>
      <c r="S4" s="3">
        <v>0</v>
      </c>
      <c r="T4" s="3">
        <v>0</v>
      </c>
      <c r="U4" s="3">
        <v>1</v>
      </c>
    </row>
  </sheetData>
  <dataValidations count="4">
    <dataValidation type="list" allowBlank="1" showInputMessage="1" showErrorMessage="1" sqref="C2:C1048576" xr:uid="{B3D8EC0A-741F-4CBA-AD1B-788453824A44}">
      <formula1>"Working Excess, Catastrophe, Corporate, Non-Catastrophe, Quota Share, Stop Loss, Surplus Share"</formula1>
    </dataValidation>
    <dataValidation type="list" allowBlank="1" showInputMessage="1" showErrorMessage="1" sqref="J2:J1048576" xr:uid="{68EF76A3-2BAF-4C95-A98C-3AAC1B196AF8}">
      <formula1>"Losses Occurring, Risks Attaching"</formula1>
    </dataValidation>
    <dataValidation type="list" allowBlank="1" showInputMessage="1" showErrorMessage="1" sqref="K2:K1048576" xr:uid="{CF3F217C-0BF4-4A01-BB7E-1AA1804BF48D}">
      <formula1>"Location, Account, Policy"</formula1>
    </dataValidation>
    <dataValidation type="list" allowBlank="1" showInputMessage="1" showErrorMessage="1" sqref="I2:I1048576" xr:uid="{5F22D5A5-127D-46AD-9777-279038D253BB}">
      <formula1>"US Dollar, Euro"</formula1>
    </dataValidation>
  </dataValidation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97D678-50A6-46C7-AB00-16387E81116A}">
  <dimension ref="A1:D122"/>
  <sheetViews>
    <sheetView workbookViewId="0">
      <selection activeCell="G13" sqref="G13"/>
    </sheetView>
  </sheetViews>
  <sheetFormatPr defaultColWidth="9.1796875" defaultRowHeight="13"/>
  <cols>
    <col min="1" max="1" width="31" style="3" bestFit="1" customWidth="1"/>
    <col min="2" max="2" width="15.81640625" style="3" bestFit="1" customWidth="1"/>
    <col min="3" max="3" width="13.7265625" style="3" bestFit="1" customWidth="1"/>
    <col min="4" max="4" width="10.54296875" style="3" bestFit="1" customWidth="1"/>
    <col min="5" max="16384" width="9.1796875" style="3"/>
  </cols>
  <sheetData>
    <row r="1" spans="1:4">
      <c r="A1" s="1" t="s">
        <v>131</v>
      </c>
      <c r="B1" s="7" t="s">
        <v>27</v>
      </c>
      <c r="C1" s="1" t="s">
        <v>132</v>
      </c>
      <c r="D1" s="1" t="s">
        <v>133</v>
      </c>
    </row>
    <row r="2" spans="1:4">
      <c r="A2" s="3" t="s">
        <v>134</v>
      </c>
      <c r="B2" s="16" t="s">
        <v>30</v>
      </c>
      <c r="C2" s="3">
        <v>0</v>
      </c>
      <c r="D2" s="3">
        <v>1</v>
      </c>
    </row>
    <row r="3" spans="1:4">
      <c r="A3" s="3" t="s">
        <v>135</v>
      </c>
      <c r="B3" s="16" t="s">
        <v>30</v>
      </c>
      <c r="C3" s="3">
        <v>20</v>
      </c>
      <c r="D3" s="3">
        <v>30</v>
      </c>
    </row>
    <row r="4" spans="1:4">
      <c r="A4" s="3" t="s">
        <v>136</v>
      </c>
      <c r="B4" s="16" t="s">
        <v>30</v>
      </c>
      <c r="C4" s="3">
        <v>0</v>
      </c>
      <c r="D4" s="3">
        <v>30</v>
      </c>
    </row>
    <row r="5" spans="1:4">
      <c r="A5" s="3" t="s">
        <v>137</v>
      </c>
      <c r="B5" s="16" t="s">
        <v>30</v>
      </c>
      <c r="C5" s="3">
        <v>0</v>
      </c>
      <c r="D5" s="3">
        <v>1</v>
      </c>
    </row>
    <row r="6" spans="1:4">
      <c r="A6" s="3" t="s">
        <v>138</v>
      </c>
      <c r="B6" s="16" t="s">
        <v>30</v>
      </c>
      <c r="C6" s="3">
        <v>0</v>
      </c>
      <c r="D6" s="3">
        <v>30</v>
      </c>
    </row>
    <row r="7" spans="1:4">
      <c r="A7" s="3" t="s">
        <v>139</v>
      </c>
      <c r="B7" s="16" t="s">
        <v>30</v>
      </c>
      <c r="C7" s="3">
        <v>80</v>
      </c>
      <c r="D7" s="3">
        <v>30</v>
      </c>
    </row>
    <row r="8" spans="1:4">
      <c r="A8" s="3" t="s">
        <v>140</v>
      </c>
      <c r="B8" s="16" t="s">
        <v>30</v>
      </c>
      <c r="C8" s="3">
        <v>0</v>
      </c>
      <c r="D8" s="3">
        <v>1</v>
      </c>
    </row>
    <row r="9" spans="1:4">
      <c r="A9" s="3" t="s">
        <v>141</v>
      </c>
      <c r="B9" s="16" t="s">
        <v>30</v>
      </c>
      <c r="C9" s="3">
        <v>0</v>
      </c>
      <c r="D9" s="3">
        <v>1</v>
      </c>
    </row>
    <row r="10" spans="1:4">
      <c r="A10" s="3" t="s">
        <v>142</v>
      </c>
      <c r="B10" s="16" t="s">
        <v>30</v>
      </c>
      <c r="C10" s="3">
        <v>0</v>
      </c>
      <c r="D10" s="3">
        <v>1</v>
      </c>
    </row>
    <row r="11" spans="1:4">
      <c r="A11" s="3" t="s">
        <v>143</v>
      </c>
      <c r="B11" s="16" t="s">
        <v>30</v>
      </c>
      <c r="C11" s="3">
        <v>0</v>
      </c>
      <c r="D11" s="3">
        <v>1</v>
      </c>
    </row>
    <row r="12" spans="1:4">
      <c r="A12" s="3" t="s">
        <v>144</v>
      </c>
      <c r="B12" s="16" t="s">
        <v>30</v>
      </c>
      <c r="C12" s="3">
        <v>0</v>
      </c>
      <c r="D12" s="3">
        <v>1</v>
      </c>
    </row>
    <row r="13" spans="1:4">
      <c r="A13" s="3" t="s">
        <v>134</v>
      </c>
      <c r="B13" s="16" t="s">
        <v>29</v>
      </c>
      <c r="C13" s="3">
        <v>0</v>
      </c>
      <c r="D13" s="3">
        <v>0.1</v>
      </c>
    </row>
    <row r="14" spans="1:4">
      <c r="A14" s="3" t="s">
        <v>135</v>
      </c>
      <c r="B14" s="16" t="s">
        <v>29</v>
      </c>
      <c r="C14" s="3">
        <v>7</v>
      </c>
      <c r="D14" s="3">
        <v>3</v>
      </c>
    </row>
    <row r="15" spans="1:4">
      <c r="A15" s="3" t="s">
        <v>136</v>
      </c>
      <c r="B15" s="16" t="s">
        <v>29</v>
      </c>
      <c r="C15" s="3">
        <v>2.5</v>
      </c>
      <c r="D15" s="3">
        <v>1</v>
      </c>
    </row>
    <row r="16" spans="1:4">
      <c r="A16" s="3" t="s">
        <v>137</v>
      </c>
      <c r="B16" s="16" t="s">
        <v>29</v>
      </c>
      <c r="C16" s="3">
        <v>0</v>
      </c>
      <c r="D16" s="3">
        <v>0.1</v>
      </c>
    </row>
    <row r="17" spans="1:4">
      <c r="A17" s="3" t="s">
        <v>138</v>
      </c>
      <c r="B17" s="16" t="s">
        <v>29</v>
      </c>
      <c r="C17" s="3">
        <v>2</v>
      </c>
      <c r="D17" s="3">
        <v>1</v>
      </c>
    </row>
    <row r="18" spans="1:4">
      <c r="A18" s="3" t="s">
        <v>139</v>
      </c>
      <c r="B18" s="16" t="s">
        <v>29</v>
      </c>
      <c r="C18" s="3">
        <v>88.75</v>
      </c>
      <c r="D18" s="3">
        <v>5</v>
      </c>
    </row>
    <row r="19" spans="1:4">
      <c r="A19" s="3" t="s">
        <v>140</v>
      </c>
      <c r="B19" s="16" t="s">
        <v>29</v>
      </c>
      <c r="C19" s="3">
        <v>0</v>
      </c>
      <c r="D19" s="3">
        <v>0.1</v>
      </c>
    </row>
    <row r="20" spans="1:4">
      <c r="A20" s="3" t="s">
        <v>141</v>
      </c>
      <c r="B20" s="16" t="s">
        <v>29</v>
      </c>
      <c r="C20" s="3">
        <v>0</v>
      </c>
      <c r="D20" s="3">
        <v>0.1</v>
      </c>
    </row>
    <row r="21" spans="1:4">
      <c r="A21" s="3" t="s">
        <v>142</v>
      </c>
      <c r="B21" s="16" t="s">
        <v>29</v>
      </c>
      <c r="C21" s="3">
        <v>0</v>
      </c>
      <c r="D21" s="3">
        <v>0.1</v>
      </c>
    </row>
    <row r="22" spans="1:4">
      <c r="A22" s="3" t="s">
        <v>143</v>
      </c>
      <c r="B22" s="16" t="s">
        <v>29</v>
      </c>
      <c r="C22" s="3">
        <v>0</v>
      </c>
      <c r="D22" s="3">
        <v>0.1</v>
      </c>
    </row>
    <row r="23" spans="1:4">
      <c r="A23" s="3" t="s">
        <v>144</v>
      </c>
      <c r="B23" s="16" t="s">
        <v>29</v>
      </c>
      <c r="C23" s="3">
        <v>0</v>
      </c>
      <c r="D23" s="3">
        <v>0.1</v>
      </c>
    </row>
    <row r="24" spans="1:4">
      <c r="A24" s="3" t="s">
        <v>134</v>
      </c>
      <c r="B24" s="16" t="s">
        <v>32</v>
      </c>
      <c r="C24" s="3">
        <v>0</v>
      </c>
      <c r="D24" s="3">
        <v>1E-3</v>
      </c>
    </row>
    <row r="25" spans="1:4">
      <c r="A25" s="3" t="s">
        <v>135</v>
      </c>
      <c r="B25" s="16" t="s">
        <v>32</v>
      </c>
      <c r="C25" s="3">
        <v>93.2</v>
      </c>
      <c r="D25" s="3">
        <v>5</v>
      </c>
    </row>
    <row r="26" spans="1:4">
      <c r="A26" s="3" t="s">
        <v>136</v>
      </c>
      <c r="B26" s="16" t="s">
        <v>32</v>
      </c>
      <c r="C26" s="3">
        <v>2.7</v>
      </c>
      <c r="D26" s="3">
        <v>1</v>
      </c>
    </row>
    <row r="27" spans="1:4">
      <c r="A27" s="3" t="s">
        <v>137</v>
      </c>
      <c r="B27" s="16" t="s">
        <v>32</v>
      </c>
      <c r="C27" s="3">
        <v>0</v>
      </c>
      <c r="D27" s="3">
        <v>1E-3</v>
      </c>
    </row>
    <row r="28" spans="1:4">
      <c r="A28" s="3" t="s">
        <v>138</v>
      </c>
      <c r="B28" s="16" t="s">
        <v>32</v>
      </c>
      <c r="C28" s="3">
        <v>0.84</v>
      </c>
      <c r="D28" s="3">
        <v>0.5</v>
      </c>
    </row>
    <row r="29" spans="1:4">
      <c r="A29" s="3" t="s">
        <v>139</v>
      </c>
      <c r="B29" s="16" t="s">
        <v>32</v>
      </c>
      <c r="C29" s="3">
        <v>3</v>
      </c>
      <c r="D29" s="3">
        <v>1</v>
      </c>
    </row>
    <row r="30" spans="1:4">
      <c r="A30" s="3" t="s">
        <v>140</v>
      </c>
      <c r="B30" s="16" t="s">
        <v>32</v>
      </c>
      <c r="C30" s="3">
        <v>0</v>
      </c>
      <c r="D30" s="3">
        <v>1E-3</v>
      </c>
    </row>
    <row r="31" spans="1:4">
      <c r="A31" s="3" t="s">
        <v>141</v>
      </c>
      <c r="B31" s="16" t="s">
        <v>32</v>
      </c>
      <c r="C31" s="3">
        <v>0.03</v>
      </c>
      <c r="D31" s="3">
        <v>0.01</v>
      </c>
    </row>
    <row r="32" spans="1:4">
      <c r="A32" s="3" t="s">
        <v>142</v>
      </c>
      <c r="B32" s="16" t="s">
        <v>32</v>
      </c>
      <c r="C32" s="3">
        <v>0</v>
      </c>
      <c r="D32" s="3">
        <v>1E-3</v>
      </c>
    </row>
    <row r="33" spans="1:4">
      <c r="A33" s="3" t="s">
        <v>143</v>
      </c>
      <c r="B33" s="16" t="s">
        <v>32</v>
      </c>
      <c r="C33" s="3">
        <v>0</v>
      </c>
      <c r="D33" s="3">
        <v>1E-3</v>
      </c>
    </row>
    <row r="34" spans="1:4">
      <c r="A34" s="3" t="s">
        <v>144</v>
      </c>
      <c r="B34" s="16" t="s">
        <v>32</v>
      </c>
      <c r="C34" s="3">
        <v>0</v>
      </c>
      <c r="D34" s="3">
        <v>1E-3</v>
      </c>
    </row>
    <row r="35" spans="1:4">
      <c r="A35" s="3" t="s">
        <v>134</v>
      </c>
      <c r="B35" s="16" t="s">
        <v>79</v>
      </c>
      <c r="C35" s="3">
        <v>0</v>
      </c>
      <c r="D35" s="3">
        <v>1E-3</v>
      </c>
    </row>
    <row r="36" spans="1:4">
      <c r="A36" s="3" t="s">
        <v>135</v>
      </c>
      <c r="B36" s="16" t="s">
        <v>79</v>
      </c>
      <c r="C36" s="3">
        <v>97.5</v>
      </c>
      <c r="D36" s="3">
        <v>3</v>
      </c>
    </row>
    <row r="37" spans="1:4">
      <c r="A37" s="3" t="s">
        <v>136</v>
      </c>
      <c r="B37" s="16" t="s">
        <v>79</v>
      </c>
      <c r="C37" s="3">
        <v>1.05</v>
      </c>
      <c r="D37" s="3">
        <v>0.5</v>
      </c>
    </row>
    <row r="38" spans="1:4">
      <c r="A38" s="3" t="s">
        <v>137</v>
      </c>
      <c r="B38" s="16" t="s">
        <v>79</v>
      </c>
      <c r="C38" s="3">
        <v>0</v>
      </c>
      <c r="D38" s="3">
        <v>1E-3</v>
      </c>
    </row>
    <row r="39" spans="1:4">
      <c r="A39" s="3" t="s">
        <v>138</v>
      </c>
      <c r="B39" s="16" t="s">
        <v>79</v>
      </c>
      <c r="C39" s="3">
        <v>0.35</v>
      </c>
      <c r="D39" s="3">
        <v>0.5</v>
      </c>
    </row>
    <row r="40" spans="1:4">
      <c r="A40" s="3" t="s">
        <v>139</v>
      </c>
      <c r="B40" s="16" t="s">
        <v>79</v>
      </c>
      <c r="C40" s="3">
        <v>1</v>
      </c>
      <c r="D40" s="3">
        <v>0.5</v>
      </c>
    </row>
    <row r="41" spans="1:4">
      <c r="A41" s="3" t="s">
        <v>140</v>
      </c>
      <c r="B41" s="16" t="s">
        <v>79</v>
      </c>
      <c r="C41" s="3">
        <v>0</v>
      </c>
      <c r="D41" s="3">
        <v>1E-3</v>
      </c>
    </row>
    <row r="42" spans="1:4">
      <c r="A42" s="3" t="s">
        <v>141</v>
      </c>
      <c r="B42" s="16" t="s">
        <v>79</v>
      </c>
      <c r="C42" s="3">
        <v>2E-3</v>
      </c>
      <c r="D42" s="3">
        <v>0.01</v>
      </c>
    </row>
    <row r="43" spans="1:4">
      <c r="A43" s="3" t="s">
        <v>142</v>
      </c>
      <c r="B43" s="16" t="s">
        <v>79</v>
      </c>
      <c r="C43" s="3">
        <v>0</v>
      </c>
      <c r="D43" s="3">
        <v>1E-3</v>
      </c>
    </row>
    <row r="44" spans="1:4">
      <c r="A44" s="3" t="s">
        <v>143</v>
      </c>
      <c r="B44" s="16" t="s">
        <v>79</v>
      </c>
      <c r="C44" s="3">
        <v>0</v>
      </c>
      <c r="D44" s="3">
        <v>1E-3</v>
      </c>
    </row>
    <row r="45" spans="1:4">
      <c r="A45" s="3" t="s">
        <v>144</v>
      </c>
      <c r="B45" s="16" t="s">
        <v>79</v>
      </c>
      <c r="C45" s="3">
        <v>0</v>
      </c>
      <c r="D45" s="3">
        <v>1E-3</v>
      </c>
    </row>
    <row r="46" spans="1:4">
      <c r="A46" s="3" t="s">
        <v>134</v>
      </c>
      <c r="B46" s="16" t="s">
        <v>61</v>
      </c>
      <c r="C46" s="3">
        <v>0</v>
      </c>
      <c r="D46" s="3">
        <v>1E-3</v>
      </c>
    </row>
    <row r="47" spans="1:4">
      <c r="A47" s="3" t="s">
        <v>135</v>
      </c>
      <c r="B47" s="16" t="s">
        <v>61</v>
      </c>
      <c r="C47" s="3">
        <v>97.8</v>
      </c>
      <c r="D47" s="3">
        <v>3</v>
      </c>
    </row>
    <row r="48" spans="1:4">
      <c r="A48" s="3" t="s">
        <v>136</v>
      </c>
      <c r="B48" s="16" t="s">
        <v>61</v>
      </c>
      <c r="C48" s="3">
        <v>1</v>
      </c>
      <c r="D48" s="3">
        <v>1</v>
      </c>
    </row>
    <row r="49" spans="1:4">
      <c r="A49" s="3" t="s">
        <v>137</v>
      </c>
      <c r="B49" s="16" t="s">
        <v>61</v>
      </c>
      <c r="C49" s="3">
        <v>0</v>
      </c>
      <c r="D49" s="3">
        <v>1E-3</v>
      </c>
    </row>
    <row r="50" spans="1:4">
      <c r="A50" s="3" t="s">
        <v>138</v>
      </c>
      <c r="B50" s="16" t="s">
        <v>61</v>
      </c>
      <c r="C50" s="3">
        <v>0.25</v>
      </c>
      <c r="D50" s="3">
        <v>0.5</v>
      </c>
    </row>
    <row r="51" spans="1:4">
      <c r="A51" s="3" t="s">
        <v>139</v>
      </c>
      <c r="B51" s="16" t="s">
        <v>61</v>
      </c>
      <c r="C51" s="3">
        <v>0.75</v>
      </c>
      <c r="D51" s="3">
        <v>1</v>
      </c>
    </row>
    <row r="52" spans="1:4">
      <c r="A52" s="3" t="s">
        <v>140</v>
      </c>
      <c r="B52" s="16" t="s">
        <v>61</v>
      </c>
      <c r="C52" s="3">
        <v>0</v>
      </c>
      <c r="D52" s="3">
        <v>1E-3</v>
      </c>
    </row>
    <row r="53" spans="1:4">
      <c r="A53" s="3" t="s">
        <v>141</v>
      </c>
      <c r="B53" s="16" t="s">
        <v>61</v>
      </c>
      <c r="C53" s="3">
        <v>3.0000000000000001E-3</v>
      </c>
      <c r="D53" s="3">
        <v>0.01</v>
      </c>
    </row>
    <row r="54" spans="1:4">
      <c r="A54" s="3" t="s">
        <v>142</v>
      </c>
      <c r="B54" s="16" t="s">
        <v>61</v>
      </c>
      <c r="C54" s="3">
        <v>0</v>
      </c>
      <c r="D54" s="3">
        <v>1E-3</v>
      </c>
    </row>
    <row r="55" spans="1:4">
      <c r="A55" s="3" t="s">
        <v>143</v>
      </c>
      <c r="B55" s="16" t="s">
        <v>61</v>
      </c>
      <c r="C55" s="3">
        <v>0</v>
      </c>
      <c r="D55" s="3">
        <v>1E-3</v>
      </c>
    </row>
    <row r="56" spans="1:4">
      <c r="A56" s="3" t="s">
        <v>144</v>
      </c>
      <c r="B56" s="16" t="s">
        <v>61</v>
      </c>
      <c r="C56" s="3">
        <v>0</v>
      </c>
      <c r="D56" s="3">
        <v>1E-3</v>
      </c>
    </row>
    <row r="57" spans="1:4">
      <c r="A57" s="3" t="s">
        <v>134</v>
      </c>
      <c r="B57" s="16" t="s">
        <v>40</v>
      </c>
      <c r="C57" s="3">
        <v>0</v>
      </c>
      <c r="D57" s="3">
        <v>1E-3</v>
      </c>
    </row>
    <row r="58" spans="1:4">
      <c r="A58" s="3" t="s">
        <v>135</v>
      </c>
      <c r="B58" s="16" t="s">
        <v>40</v>
      </c>
      <c r="C58" s="3">
        <v>97.5</v>
      </c>
      <c r="D58" s="3">
        <v>3</v>
      </c>
    </row>
    <row r="59" spans="1:4">
      <c r="A59" s="3" t="s">
        <v>136</v>
      </c>
      <c r="B59" s="16" t="s">
        <v>40</v>
      </c>
      <c r="C59" s="3">
        <v>1.05</v>
      </c>
      <c r="D59" s="3">
        <v>0.5</v>
      </c>
    </row>
    <row r="60" spans="1:4">
      <c r="A60" s="3" t="s">
        <v>137</v>
      </c>
      <c r="B60" s="16" t="s">
        <v>40</v>
      </c>
      <c r="C60" s="3">
        <v>0</v>
      </c>
      <c r="D60" s="3">
        <v>1E-3</v>
      </c>
    </row>
    <row r="61" spans="1:4">
      <c r="A61" s="3" t="s">
        <v>138</v>
      </c>
      <c r="B61" s="16" t="s">
        <v>40</v>
      </c>
      <c r="C61" s="3">
        <v>0.35</v>
      </c>
      <c r="D61" s="3">
        <v>0.5</v>
      </c>
    </row>
    <row r="62" spans="1:4">
      <c r="A62" s="3" t="s">
        <v>139</v>
      </c>
      <c r="B62" s="16" t="s">
        <v>40</v>
      </c>
      <c r="C62" s="3">
        <v>1</v>
      </c>
      <c r="D62" s="3">
        <v>0.5</v>
      </c>
    </row>
    <row r="63" spans="1:4">
      <c r="A63" s="3" t="s">
        <v>140</v>
      </c>
      <c r="B63" s="16" t="s">
        <v>40</v>
      </c>
      <c r="C63" s="3">
        <v>0</v>
      </c>
      <c r="D63" s="3">
        <v>1E-3</v>
      </c>
    </row>
    <row r="64" spans="1:4">
      <c r="A64" s="3" t="s">
        <v>141</v>
      </c>
      <c r="B64" s="16" t="s">
        <v>40</v>
      </c>
      <c r="C64" s="3">
        <v>2E-3</v>
      </c>
      <c r="D64" s="3">
        <v>0.01</v>
      </c>
    </row>
    <row r="65" spans="1:4">
      <c r="A65" s="3" t="s">
        <v>142</v>
      </c>
      <c r="B65" s="16" t="s">
        <v>40</v>
      </c>
      <c r="C65" s="3">
        <v>0</v>
      </c>
      <c r="D65" s="3">
        <v>1E-3</v>
      </c>
    </row>
    <row r="66" spans="1:4">
      <c r="A66" s="3" t="s">
        <v>143</v>
      </c>
      <c r="B66" s="16" t="s">
        <v>40</v>
      </c>
      <c r="C66" s="3">
        <v>0</v>
      </c>
      <c r="D66" s="3">
        <v>1E-3</v>
      </c>
    </row>
    <row r="67" spans="1:4">
      <c r="A67" s="3" t="s">
        <v>144</v>
      </c>
      <c r="B67" s="16" t="s">
        <v>40</v>
      </c>
      <c r="C67" s="3">
        <v>0</v>
      </c>
      <c r="D67" s="3">
        <v>1E-3</v>
      </c>
    </row>
    <row r="68" spans="1:4">
      <c r="A68" s="3" t="s">
        <v>134</v>
      </c>
      <c r="B68" s="16" t="s">
        <v>90</v>
      </c>
      <c r="C68" s="3">
        <v>0</v>
      </c>
      <c r="D68" s="3">
        <v>1E-3</v>
      </c>
    </row>
    <row r="69" spans="1:4">
      <c r="A69" s="3" t="s">
        <v>135</v>
      </c>
      <c r="B69" s="16" t="s">
        <v>90</v>
      </c>
      <c r="C69" s="3">
        <v>97.5</v>
      </c>
      <c r="D69" s="3">
        <v>3</v>
      </c>
    </row>
    <row r="70" spans="1:4">
      <c r="A70" s="3" t="s">
        <v>136</v>
      </c>
      <c r="B70" s="16" t="s">
        <v>90</v>
      </c>
      <c r="C70" s="3">
        <v>1.05</v>
      </c>
      <c r="D70" s="3">
        <v>0.5</v>
      </c>
    </row>
    <row r="71" spans="1:4">
      <c r="A71" s="3" t="s">
        <v>137</v>
      </c>
      <c r="B71" s="16" t="s">
        <v>90</v>
      </c>
      <c r="C71" s="3">
        <v>0</v>
      </c>
      <c r="D71" s="3">
        <v>1E-3</v>
      </c>
    </row>
    <row r="72" spans="1:4">
      <c r="A72" s="3" t="s">
        <v>138</v>
      </c>
      <c r="B72" s="16" t="s">
        <v>90</v>
      </c>
      <c r="C72" s="3">
        <v>0.35</v>
      </c>
      <c r="D72" s="3">
        <v>0.5</v>
      </c>
    </row>
    <row r="73" spans="1:4">
      <c r="A73" s="3" t="s">
        <v>139</v>
      </c>
      <c r="B73" s="16" t="s">
        <v>90</v>
      </c>
      <c r="C73" s="3">
        <v>1</v>
      </c>
      <c r="D73" s="3">
        <v>0.5</v>
      </c>
    </row>
    <row r="74" spans="1:4">
      <c r="A74" s="3" t="s">
        <v>140</v>
      </c>
      <c r="B74" s="16" t="s">
        <v>90</v>
      </c>
      <c r="C74" s="3">
        <v>0</v>
      </c>
      <c r="D74" s="3">
        <v>1E-3</v>
      </c>
    </row>
    <row r="75" spans="1:4">
      <c r="A75" s="3" t="s">
        <v>141</v>
      </c>
      <c r="B75" s="16" t="s">
        <v>90</v>
      </c>
      <c r="C75" s="3">
        <v>2E-3</v>
      </c>
      <c r="D75" s="3">
        <v>0.01</v>
      </c>
    </row>
    <row r="76" spans="1:4">
      <c r="A76" s="3" t="s">
        <v>142</v>
      </c>
      <c r="B76" s="16" t="s">
        <v>90</v>
      </c>
      <c r="C76" s="3">
        <v>0</v>
      </c>
      <c r="D76" s="3">
        <v>1E-3</v>
      </c>
    </row>
    <row r="77" spans="1:4">
      <c r="A77" s="3" t="s">
        <v>143</v>
      </c>
      <c r="B77" s="16" t="s">
        <v>90</v>
      </c>
      <c r="C77" s="3">
        <v>0</v>
      </c>
      <c r="D77" s="3">
        <v>1E-3</v>
      </c>
    </row>
    <row r="78" spans="1:4">
      <c r="A78" s="3" t="s">
        <v>144</v>
      </c>
      <c r="B78" s="16" t="s">
        <v>90</v>
      </c>
      <c r="C78" s="3">
        <v>0</v>
      </c>
      <c r="D78" s="3">
        <v>1E-3</v>
      </c>
    </row>
    <row r="79" spans="1:4">
      <c r="A79" s="3" t="s">
        <v>134</v>
      </c>
      <c r="B79" s="16" t="s">
        <v>64</v>
      </c>
      <c r="C79" s="3">
        <v>0</v>
      </c>
      <c r="D79" s="3">
        <v>1E-3</v>
      </c>
    </row>
    <row r="80" spans="1:4">
      <c r="A80" s="3" t="s">
        <v>135</v>
      </c>
      <c r="B80" s="16" t="s">
        <v>64</v>
      </c>
      <c r="C80" s="3">
        <v>95</v>
      </c>
      <c r="D80" s="3">
        <v>4</v>
      </c>
    </row>
    <row r="81" spans="1:4">
      <c r="A81" s="3" t="s">
        <v>136</v>
      </c>
      <c r="B81" s="16" t="s">
        <v>64</v>
      </c>
      <c r="C81" s="3">
        <v>2.5</v>
      </c>
      <c r="D81" s="3">
        <v>1</v>
      </c>
    </row>
    <row r="82" spans="1:4">
      <c r="A82" s="3" t="s">
        <v>137</v>
      </c>
      <c r="B82" s="16" t="s">
        <v>64</v>
      </c>
      <c r="C82" s="3">
        <v>0</v>
      </c>
      <c r="D82" s="3">
        <v>1E-3</v>
      </c>
    </row>
    <row r="83" spans="1:4">
      <c r="A83" s="3" t="s">
        <v>138</v>
      </c>
      <c r="B83" s="16" t="s">
        <v>64</v>
      </c>
      <c r="C83" s="3">
        <v>0.7</v>
      </c>
      <c r="D83" s="3">
        <v>0.5</v>
      </c>
    </row>
    <row r="84" spans="1:4">
      <c r="A84" s="3" t="s">
        <v>139</v>
      </c>
      <c r="B84" s="16" t="s">
        <v>64</v>
      </c>
      <c r="C84" s="3">
        <v>2.6</v>
      </c>
      <c r="D84" s="3">
        <v>1</v>
      </c>
    </row>
    <row r="85" spans="1:4">
      <c r="A85" s="3" t="s">
        <v>140</v>
      </c>
      <c r="B85" s="16" t="s">
        <v>64</v>
      </c>
      <c r="C85" s="3">
        <v>0</v>
      </c>
      <c r="D85" s="3">
        <v>1E-3</v>
      </c>
    </row>
    <row r="86" spans="1:4">
      <c r="A86" s="3" t="s">
        <v>141</v>
      </c>
      <c r="B86" s="16" t="s">
        <v>64</v>
      </c>
      <c r="C86" s="3">
        <v>1E-3</v>
      </c>
      <c r="D86" s="3">
        <v>0.01</v>
      </c>
    </row>
    <row r="87" spans="1:4">
      <c r="A87" s="3" t="s">
        <v>142</v>
      </c>
      <c r="B87" s="16" t="s">
        <v>64</v>
      </c>
      <c r="C87" s="3">
        <v>0</v>
      </c>
      <c r="D87" s="3">
        <v>1E-3</v>
      </c>
    </row>
    <row r="88" spans="1:4">
      <c r="A88" s="3" t="s">
        <v>143</v>
      </c>
      <c r="B88" s="16" t="s">
        <v>64</v>
      </c>
      <c r="C88" s="3">
        <v>0</v>
      </c>
      <c r="D88" s="3">
        <v>1E-3</v>
      </c>
    </row>
    <row r="89" spans="1:4">
      <c r="A89" s="3" t="s">
        <v>144</v>
      </c>
      <c r="B89" s="16" t="s">
        <v>64</v>
      </c>
      <c r="C89" s="3">
        <v>0</v>
      </c>
      <c r="D89" s="3">
        <v>1E-3</v>
      </c>
    </row>
    <row r="90" spans="1:4">
      <c r="A90" s="3" t="s">
        <v>134</v>
      </c>
      <c r="B90" s="16" t="s">
        <v>59</v>
      </c>
      <c r="C90" s="3">
        <v>0</v>
      </c>
      <c r="D90" s="3">
        <v>5.0000000000000001E-3</v>
      </c>
    </row>
    <row r="91" spans="1:4">
      <c r="A91" s="3" t="s">
        <v>135</v>
      </c>
      <c r="B91" s="16" t="s">
        <v>59</v>
      </c>
      <c r="C91" s="3">
        <v>99.9</v>
      </c>
      <c r="D91" s="3">
        <v>1</v>
      </c>
    </row>
    <row r="92" spans="1:4">
      <c r="A92" s="3" t="s">
        <v>136</v>
      </c>
      <c r="B92" s="16" t="s">
        <v>59</v>
      </c>
      <c r="C92" s="3">
        <v>0.03</v>
      </c>
      <c r="D92" s="3">
        <v>0.1</v>
      </c>
    </row>
    <row r="93" spans="1:4">
      <c r="A93" s="3" t="s">
        <v>137</v>
      </c>
      <c r="B93" s="16" t="s">
        <v>59</v>
      </c>
      <c r="C93" s="3">
        <v>0</v>
      </c>
      <c r="D93" s="3">
        <v>5.0000000000000001E-3</v>
      </c>
    </row>
    <row r="94" spans="1:4">
      <c r="A94" s="3" t="s">
        <v>138</v>
      </c>
      <c r="B94" s="16" t="s">
        <v>59</v>
      </c>
      <c r="C94" s="3">
        <v>0</v>
      </c>
      <c r="D94" s="3">
        <v>0.01</v>
      </c>
    </row>
    <row r="95" spans="1:4">
      <c r="A95" s="3" t="s">
        <v>139</v>
      </c>
      <c r="B95" s="16" t="s">
        <v>59</v>
      </c>
      <c r="C95" s="3">
        <v>0</v>
      </c>
      <c r="D95" s="3">
        <v>0.01</v>
      </c>
    </row>
    <row r="96" spans="1:4">
      <c r="A96" s="3" t="s">
        <v>140</v>
      </c>
      <c r="B96" s="16" t="s">
        <v>59</v>
      </c>
      <c r="C96" s="3">
        <v>0</v>
      </c>
      <c r="D96" s="3">
        <v>5.0000000000000001E-3</v>
      </c>
    </row>
    <row r="97" spans="1:4">
      <c r="A97" s="3" t="s">
        <v>141</v>
      </c>
      <c r="B97" s="16" t="s">
        <v>59</v>
      </c>
      <c r="C97" s="3">
        <v>0</v>
      </c>
      <c r="D97" s="3">
        <v>5.0000000000000001E-3</v>
      </c>
    </row>
    <row r="98" spans="1:4">
      <c r="A98" s="3" t="s">
        <v>142</v>
      </c>
      <c r="B98" s="16" t="s">
        <v>59</v>
      </c>
      <c r="C98" s="3">
        <v>0</v>
      </c>
      <c r="D98" s="3">
        <v>5.0000000000000001E-3</v>
      </c>
    </row>
    <row r="99" spans="1:4">
      <c r="A99" s="3" t="s">
        <v>143</v>
      </c>
      <c r="B99" s="16" t="s">
        <v>59</v>
      </c>
      <c r="C99" s="3">
        <v>0</v>
      </c>
      <c r="D99" s="3">
        <v>5.0000000000000001E-3</v>
      </c>
    </row>
    <row r="100" spans="1:4">
      <c r="A100" s="3" t="s">
        <v>144</v>
      </c>
      <c r="B100" s="16" t="s">
        <v>59</v>
      </c>
      <c r="C100" s="3">
        <v>0</v>
      </c>
      <c r="D100" s="3">
        <v>5.0000000000000001E-3</v>
      </c>
    </row>
    <row r="101" spans="1:4">
      <c r="A101" s="3" t="s">
        <v>134</v>
      </c>
      <c r="B101" s="16" t="s">
        <v>58</v>
      </c>
      <c r="C101" s="3">
        <v>0</v>
      </c>
      <c r="D101" s="3">
        <v>0.5</v>
      </c>
    </row>
    <row r="102" spans="1:4">
      <c r="A102" s="3" t="s">
        <v>135</v>
      </c>
      <c r="B102" s="16" t="s">
        <v>58</v>
      </c>
      <c r="C102" s="3">
        <v>99.5</v>
      </c>
      <c r="D102" s="3">
        <v>2</v>
      </c>
    </row>
    <row r="103" spans="1:4">
      <c r="A103" s="3" t="s">
        <v>136</v>
      </c>
      <c r="B103" s="16" t="s">
        <v>58</v>
      </c>
      <c r="C103" s="3">
        <v>0.5</v>
      </c>
      <c r="D103" s="3">
        <v>1</v>
      </c>
    </row>
    <row r="104" spans="1:4">
      <c r="A104" s="3" t="s">
        <v>137</v>
      </c>
      <c r="B104" s="16" t="s">
        <v>58</v>
      </c>
      <c r="C104" s="3">
        <v>0</v>
      </c>
      <c r="D104" s="3">
        <v>0.1</v>
      </c>
    </row>
    <row r="105" spans="1:4">
      <c r="A105" s="3" t="s">
        <v>138</v>
      </c>
      <c r="B105" s="16" t="s">
        <v>58</v>
      </c>
      <c r="C105" s="3">
        <v>0</v>
      </c>
      <c r="D105" s="3">
        <v>0.5</v>
      </c>
    </row>
    <row r="106" spans="1:4">
      <c r="A106" s="3" t="s">
        <v>139</v>
      </c>
      <c r="B106" s="16" t="s">
        <v>58</v>
      </c>
      <c r="C106" s="3">
        <v>0</v>
      </c>
      <c r="D106" s="3">
        <v>0.5</v>
      </c>
    </row>
    <row r="107" spans="1:4">
      <c r="A107" s="3" t="s">
        <v>140</v>
      </c>
      <c r="B107" s="16" t="s">
        <v>58</v>
      </c>
      <c r="C107" s="3">
        <v>0</v>
      </c>
      <c r="D107" s="3">
        <v>0.1</v>
      </c>
    </row>
    <row r="108" spans="1:4">
      <c r="A108" s="3" t="s">
        <v>141</v>
      </c>
      <c r="B108" s="16" t="s">
        <v>58</v>
      </c>
      <c r="C108" s="3">
        <v>0</v>
      </c>
      <c r="D108" s="3">
        <v>0.1</v>
      </c>
    </row>
    <row r="109" spans="1:4">
      <c r="A109" s="3" t="s">
        <v>142</v>
      </c>
      <c r="B109" s="16" t="s">
        <v>58</v>
      </c>
      <c r="C109" s="3">
        <v>0</v>
      </c>
      <c r="D109" s="3">
        <v>0.1</v>
      </c>
    </row>
    <row r="110" spans="1:4">
      <c r="A110" s="3" t="s">
        <v>143</v>
      </c>
      <c r="B110" s="16" t="s">
        <v>58</v>
      </c>
      <c r="C110" s="3">
        <v>0</v>
      </c>
      <c r="D110" s="3">
        <v>0.1</v>
      </c>
    </row>
    <row r="111" spans="1:4">
      <c r="A111" s="3" t="s">
        <v>144</v>
      </c>
      <c r="B111" s="16" t="s">
        <v>58</v>
      </c>
      <c r="C111" s="3">
        <v>0</v>
      </c>
      <c r="D111" s="3">
        <v>0.1</v>
      </c>
    </row>
    <row r="112" spans="1:4">
      <c r="A112" s="3" t="s">
        <v>134</v>
      </c>
      <c r="B112" s="16" t="s">
        <v>51</v>
      </c>
      <c r="C112" s="3">
        <v>0</v>
      </c>
      <c r="D112" s="3">
        <v>1E-3</v>
      </c>
    </row>
    <row r="113" spans="1:4">
      <c r="A113" s="3" t="s">
        <v>135</v>
      </c>
      <c r="B113" s="16" t="s">
        <v>51</v>
      </c>
      <c r="C113" s="3">
        <v>93.25</v>
      </c>
      <c r="D113" s="3">
        <v>4</v>
      </c>
    </row>
    <row r="114" spans="1:4">
      <c r="A114" s="3" t="s">
        <v>136</v>
      </c>
      <c r="B114" s="16" t="s">
        <v>51</v>
      </c>
      <c r="C114" s="3">
        <v>2.7</v>
      </c>
      <c r="D114" s="3">
        <v>1</v>
      </c>
    </row>
    <row r="115" spans="1:4">
      <c r="A115" s="3" t="s">
        <v>137</v>
      </c>
      <c r="B115" s="16" t="s">
        <v>51</v>
      </c>
      <c r="C115" s="3">
        <v>0</v>
      </c>
      <c r="D115" s="3">
        <v>1E-3</v>
      </c>
    </row>
    <row r="116" spans="1:4">
      <c r="A116" s="3" t="s">
        <v>138</v>
      </c>
      <c r="B116" s="16" t="s">
        <v>51</v>
      </c>
      <c r="C116" s="3">
        <v>0.79</v>
      </c>
      <c r="D116" s="3">
        <v>0.5</v>
      </c>
    </row>
    <row r="117" spans="1:4">
      <c r="A117" s="3" t="s">
        <v>139</v>
      </c>
      <c r="B117" s="16" t="s">
        <v>51</v>
      </c>
      <c r="C117" s="3">
        <v>3.25</v>
      </c>
      <c r="D117" s="3">
        <v>1</v>
      </c>
    </row>
    <row r="118" spans="1:4">
      <c r="A118" s="3" t="s">
        <v>140</v>
      </c>
      <c r="B118" s="16" t="s">
        <v>51</v>
      </c>
      <c r="C118" s="3">
        <v>0</v>
      </c>
      <c r="D118" s="3">
        <v>1E-3</v>
      </c>
    </row>
    <row r="119" spans="1:4">
      <c r="A119" s="3" t="s">
        <v>141</v>
      </c>
      <c r="B119" s="16" t="s">
        <v>51</v>
      </c>
      <c r="C119" s="3">
        <v>5.0000000000000001E-3</v>
      </c>
      <c r="D119" s="3">
        <v>0.01</v>
      </c>
    </row>
    <row r="120" spans="1:4">
      <c r="A120" s="3" t="s">
        <v>142</v>
      </c>
      <c r="B120" s="16" t="s">
        <v>51</v>
      </c>
      <c r="C120" s="3">
        <v>0</v>
      </c>
      <c r="D120" s="3">
        <v>1E-3</v>
      </c>
    </row>
    <row r="121" spans="1:4">
      <c r="A121" s="3" t="s">
        <v>143</v>
      </c>
      <c r="B121" s="16" t="s">
        <v>51</v>
      </c>
      <c r="C121" s="3">
        <v>0</v>
      </c>
      <c r="D121" s="3">
        <v>1E-3</v>
      </c>
    </row>
    <row r="122" spans="1:4">
      <c r="A122" s="3" t="s">
        <v>144</v>
      </c>
      <c r="B122" s="16" t="s">
        <v>51</v>
      </c>
      <c r="C122" s="3">
        <v>0</v>
      </c>
      <c r="D122" s="3">
        <v>1E-3</v>
      </c>
    </row>
  </sheetData>
  <dataValidations count="1">
    <dataValidation allowBlank="1" showInputMessage="1" showErrorMessage="1" sqref="B1 B24:B1048576" xr:uid="{237C9D01-62E9-45B1-BB65-62FAA346DB15}"/>
  </dataValidation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6A1FCE-672E-47EA-B9D8-82E4004387CD}">
  <dimension ref="A1:P499"/>
  <sheetViews>
    <sheetView topLeftCell="A29" zoomScaleNormal="100" workbookViewId="0">
      <selection activeCell="E53" sqref="E53"/>
    </sheetView>
  </sheetViews>
  <sheetFormatPr defaultColWidth="9.1796875" defaultRowHeight="13"/>
  <cols>
    <col min="1" max="1" width="28.7265625" style="3" bestFit="1" customWidth="1"/>
    <col min="2" max="2" width="20.26953125" style="3" bestFit="1" customWidth="1"/>
    <col min="3" max="3" width="24.1796875" style="3" bestFit="1" customWidth="1"/>
    <col min="4" max="4" width="23.26953125" style="3" bestFit="1" customWidth="1"/>
    <col min="5" max="5" width="19.7265625" style="3" bestFit="1" customWidth="1"/>
    <col min="6" max="6" width="29.1796875" style="3" bestFit="1" customWidth="1"/>
    <col min="7" max="11" width="17.453125" style="3" bestFit="1" customWidth="1"/>
    <col min="12" max="12" width="22.7265625" style="3" bestFit="1" customWidth="1"/>
    <col min="13" max="16" width="5" style="3" bestFit="1" customWidth="1"/>
    <col min="17" max="16384" width="9.1796875" style="3"/>
  </cols>
  <sheetData>
    <row r="1" spans="1:16">
      <c r="A1" s="1" t="s">
        <v>24</v>
      </c>
      <c r="B1" s="1" t="s">
        <v>26</v>
      </c>
      <c r="C1" s="1" t="s">
        <v>145</v>
      </c>
      <c r="D1" s="1" t="s">
        <v>146</v>
      </c>
      <c r="E1" s="1" t="s">
        <v>147</v>
      </c>
      <c r="F1" s="1" t="s">
        <v>148</v>
      </c>
      <c r="G1" s="1" t="s">
        <v>149</v>
      </c>
      <c r="H1" s="1" t="s">
        <v>150</v>
      </c>
      <c r="I1" s="1" t="s">
        <v>151</v>
      </c>
      <c r="J1" s="1" t="s">
        <v>152</v>
      </c>
      <c r="K1" s="1" t="s">
        <v>153</v>
      </c>
      <c r="L1" s="1" t="s">
        <v>154</v>
      </c>
      <c r="M1" s="1" t="s">
        <v>155</v>
      </c>
      <c r="N1" s="1" t="s">
        <v>156</v>
      </c>
      <c r="O1" s="1" t="s">
        <v>157</v>
      </c>
      <c r="P1" s="1" t="s">
        <v>158</v>
      </c>
    </row>
    <row r="2" spans="1:16">
      <c r="A2" s="16" t="str">
        <f>_xlfn.CONCAT("RMS_EDM_",Metadata!$B$1,"_Quarterly_CBAP")</f>
        <v>RMS_EDM_202503_Quarterly_CBAP</v>
      </c>
      <c r="B2" s="16" t="s">
        <v>29</v>
      </c>
      <c r="C2" s="16" t="s">
        <v>159</v>
      </c>
      <c r="D2" s="16" t="s">
        <v>160</v>
      </c>
      <c r="E2" s="3" t="s">
        <v>161</v>
      </c>
      <c r="F2" s="16" t="s">
        <v>162</v>
      </c>
      <c r="G2" s="3" t="s">
        <v>123</v>
      </c>
      <c r="H2" s="3" t="s">
        <v>128</v>
      </c>
      <c r="L2" s="3" t="str">
        <f>_xlfn.CONCAT(Metadata!$B$1,"_Quarterly_CBHU_LT")</f>
        <v>202503_Quarterly_CBHU_LT</v>
      </c>
    </row>
    <row r="3" spans="1:16">
      <c r="A3" s="16" t="str">
        <f>_xlfn.CONCAT("RMS_EDM_",Metadata!$B$1,"_Quarterly_CBAP")</f>
        <v>RMS_EDM_202503_Quarterly_CBAP</v>
      </c>
      <c r="B3" s="16" t="s">
        <v>29</v>
      </c>
      <c r="C3" s="16" t="s">
        <v>163</v>
      </c>
      <c r="D3" s="16" t="s">
        <v>160</v>
      </c>
      <c r="E3" s="3" t="s">
        <v>161</v>
      </c>
      <c r="F3" s="16" t="s">
        <v>164</v>
      </c>
      <c r="G3" s="3" t="s">
        <v>123</v>
      </c>
      <c r="H3" s="3" t="s">
        <v>128</v>
      </c>
      <c r="L3" s="3" t="str">
        <f>_xlfn.CONCAT(Metadata!$B$1,"_Quarterly_CBHU_NT")</f>
        <v>202503_Quarterly_CBHU_NT</v>
      </c>
    </row>
    <row r="4" spans="1:16">
      <c r="A4" s="16" t="str">
        <f>_xlfn.CONCAT("RMS_EDM_",Metadata!$B$1,"_Quarterly_CBAP")</f>
        <v>RMS_EDM_202503_Quarterly_CBAP</v>
      </c>
      <c r="B4" s="16" t="s">
        <v>30</v>
      </c>
      <c r="C4" s="16" t="s">
        <v>30</v>
      </c>
      <c r="D4" s="16" t="s">
        <v>165</v>
      </c>
      <c r="E4" s="3" t="s">
        <v>161</v>
      </c>
      <c r="F4" s="16" t="s">
        <v>166</v>
      </c>
      <c r="G4" s="3" t="s">
        <v>123</v>
      </c>
      <c r="H4" s="3" t="s">
        <v>128</v>
      </c>
      <c r="L4" s="3" t="str">
        <f>_xlfn.CONCAT(Metadata!$B$1,"_Quarterly_CBEQ")</f>
        <v>202503_Quarterly_CBEQ</v>
      </c>
    </row>
    <row r="5" spans="1:16">
      <c r="A5" s="16" t="str">
        <f>_xlfn.CONCAT("RMS_EDM_",Metadata!$B$1,"_Quarterly_USEQ")</f>
        <v>RMS_EDM_202503_Quarterly_USEQ</v>
      </c>
      <c r="B5" s="16" t="s">
        <v>31</v>
      </c>
      <c r="C5" s="16" t="s">
        <v>31</v>
      </c>
      <c r="D5" s="16" t="s">
        <v>167</v>
      </c>
      <c r="E5" s="3" t="s">
        <v>161</v>
      </c>
      <c r="F5" s="16" t="s">
        <v>168</v>
      </c>
      <c r="L5" s="3" t="str">
        <f>_xlfn.CONCAT(Metadata!$B$1,"_Quarterly_USEQ")</f>
        <v>202503_Quarterly_USEQ</v>
      </c>
    </row>
    <row r="6" spans="1:16">
      <c r="A6" s="16" t="str">
        <f>_xlfn.CONCAT("RMS_EDM_",Metadata!$B$1,"_Quarterly_USEQ")</f>
        <v>RMS_EDM_202503_Quarterly_USEQ</v>
      </c>
      <c r="B6" s="16" t="s">
        <v>34</v>
      </c>
      <c r="C6" s="16" t="s">
        <v>34</v>
      </c>
      <c r="D6" s="16" t="s">
        <v>167</v>
      </c>
      <c r="E6" s="3" t="s">
        <v>161</v>
      </c>
      <c r="F6" s="16" t="s">
        <v>168</v>
      </c>
      <c r="L6" s="3" t="str">
        <f>_xlfn.CONCAT(Metadata!$B$1,"_Quarterly_USEQ")</f>
        <v>202503_Quarterly_USEQ</v>
      </c>
    </row>
    <row r="7" spans="1:16">
      <c r="A7" s="16" t="str">
        <f>_xlfn.CONCAT("RMS_EDM_",Metadata!$B$1,"_Quarterly_USEQ")</f>
        <v>RMS_EDM_202503_Quarterly_USEQ</v>
      </c>
      <c r="B7" s="16" t="s">
        <v>35</v>
      </c>
      <c r="C7" s="16" t="s">
        <v>35</v>
      </c>
      <c r="D7" s="16" t="s">
        <v>167</v>
      </c>
      <c r="E7" s="3" t="s">
        <v>161</v>
      </c>
      <c r="F7" s="16" t="s">
        <v>168</v>
      </c>
      <c r="G7" s="3" t="s">
        <v>123</v>
      </c>
      <c r="H7" s="3" t="s">
        <v>128</v>
      </c>
      <c r="L7" s="3" t="str">
        <f>_xlfn.CONCAT(Metadata!$B$1,"_Quarterly_USEQ")</f>
        <v>202503_Quarterly_USEQ</v>
      </c>
    </row>
    <row r="8" spans="1:16">
      <c r="A8" s="16" t="str">
        <f>_xlfn.CONCAT("RMS_EDM_",Metadata!$B$1,"_Quarterly_USEQ")</f>
        <v>RMS_EDM_202503_Quarterly_USEQ</v>
      </c>
      <c r="B8" s="16" t="s">
        <v>36</v>
      </c>
      <c r="C8" s="16" t="s">
        <v>36</v>
      </c>
      <c r="D8" s="16" t="s">
        <v>167</v>
      </c>
      <c r="E8" s="3" t="s">
        <v>161</v>
      </c>
      <c r="F8" s="16" t="s">
        <v>168</v>
      </c>
      <c r="G8" s="3" t="s">
        <v>123</v>
      </c>
      <c r="H8" s="3" t="s">
        <v>128</v>
      </c>
      <c r="L8" s="3" t="str">
        <f>_xlfn.CONCAT(Metadata!$B$1,"_Quarterly_USEQ")</f>
        <v>202503_Quarterly_USEQ</v>
      </c>
    </row>
    <row r="9" spans="1:16">
      <c r="A9" s="16" t="str">
        <f>_xlfn.CONCAT("RMS_EDM_",Metadata!$B$1,"_Quarterly_USEQ")</f>
        <v>RMS_EDM_202503_Quarterly_USEQ</v>
      </c>
      <c r="B9" s="16" t="s">
        <v>37</v>
      </c>
      <c r="C9" s="16" t="s">
        <v>37</v>
      </c>
      <c r="D9" s="16" t="s">
        <v>167</v>
      </c>
      <c r="E9" s="3" t="s">
        <v>161</v>
      </c>
      <c r="F9" s="16" t="s">
        <v>168</v>
      </c>
      <c r="G9" s="3" t="s">
        <v>123</v>
      </c>
      <c r="H9" s="3" t="s">
        <v>128</v>
      </c>
      <c r="L9" s="3" t="str">
        <f>_xlfn.CONCAT(Metadata!$B$1,"_Quarterly_USEQ")</f>
        <v>202503_Quarterly_USEQ</v>
      </c>
    </row>
    <row r="10" spans="1:16">
      <c r="A10" s="16" t="str">
        <f>_xlfn.CONCAT("RMS_EDM_",Metadata!$B$1,"_Quarterly_USEQ")</f>
        <v>RMS_EDM_202503_Quarterly_USEQ</v>
      </c>
      <c r="B10" s="16" t="s">
        <v>38</v>
      </c>
      <c r="C10" s="16" t="s">
        <v>38</v>
      </c>
      <c r="D10" s="16" t="s">
        <v>167</v>
      </c>
      <c r="E10" s="3" t="s">
        <v>161</v>
      </c>
      <c r="F10" s="16" t="s">
        <v>168</v>
      </c>
      <c r="G10" s="3" t="s">
        <v>123</v>
      </c>
      <c r="H10" s="3" t="s">
        <v>128</v>
      </c>
      <c r="L10" s="3" t="str">
        <f>_xlfn.CONCAT(Metadata!$B$1,"_Quarterly_USEQ")</f>
        <v>202503_Quarterly_USEQ</v>
      </c>
    </row>
    <row r="11" spans="1:16">
      <c r="A11" s="16" t="str">
        <f>_xlfn.CONCAT("RMS_EDM_",Metadata!$B$1,"_Quarterly_USFF")</f>
        <v>RMS_EDM_202503_Quarterly_USFF</v>
      </c>
      <c r="B11" s="16" t="s">
        <v>39</v>
      </c>
      <c r="C11" s="16" t="s">
        <v>39</v>
      </c>
      <c r="D11" s="16" t="s">
        <v>169</v>
      </c>
      <c r="E11" s="3" t="s">
        <v>161</v>
      </c>
      <c r="F11" s="16" t="s">
        <v>168</v>
      </c>
      <c r="G11" s="3" t="s">
        <v>129</v>
      </c>
      <c r="L11" s="3" t="str">
        <f>_xlfn.CONCAT(Metadata!$B$1,"_Quarterly_USFF")</f>
        <v>202503_Quarterly_USFF</v>
      </c>
    </row>
    <row r="12" spans="1:16">
      <c r="A12" s="16" t="str">
        <f>_xlfn.CONCAT("RMS_EDM_",Metadata!$B$1,"_Quarterly_USFF")</f>
        <v>RMS_EDM_202503_Quarterly_USFF</v>
      </c>
      <c r="B12" s="16" t="s">
        <v>41</v>
      </c>
      <c r="C12" s="16" t="s">
        <v>41</v>
      </c>
      <c r="D12" s="16" t="s">
        <v>169</v>
      </c>
      <c r="E12" s="3" t="s">
        <v>161</v>
      </c>
      <c r="F12" s="16" t="s">
        <v>168</v>
      </c>
      <c r="G12" s="3" t="s">
        <v>123</v>
      </c>
      <c r="H12" s="3" t="s">
        <v>128</v>
      </c>
      <c r="L12" s="3" t="str">
        <f>_xlfn.CONCAT(Metadata!$B$1,"_Quarterly_USFF")</f>
        <v>202503_Quarterly_USFF</v>
      </c>
    </row>
    <row r="13" spans="1:16">
      <c r="A13" s="16" t="str">
        <f>_xlfn.CONCAT("RMS_EDM_",Metadata!$B$1,"_Quarterly_USFF")</f>
        <v>RMS_EDM_202503_Quarterly_USFF</v>
      </c>
      <c r="B13" s="16" t="s">
        <v>42</v>
      </c>
      <c r="C13" s="16" t="s">
        <v>42</v>
      </c>
      <c r="D13" s="16" t="s">
        <v>169</v>
      </c>
      <c r="E13" s="3" t="s">
        <v>161</v>
      </c>
      <c r="F13" s="16" t="s">
        <v>168</v>
      </c>
      <c r="L13" s="3" t="str">
        <f>_xlfn.CONCAT(Metadata!$B$1,"_Quarterly_USFF")</f>
        <v>202503_Quarterly_USFF</v>
      </c>
    </row>
    <row r="14" spans="1:16">
      <c r="A14" s="16" t="str">
        <f>_xlfn.CONCAT("RMS_EDM_",Metadata!$B$1,"_Quarterly_USFF")</f>
        <v>RMS_EDM_202503_Quarterly_USFF</v>
      </c>
      <c r="B14" s="16" t="s">
        <v>43</v>
      </c>
      <c r="C14" s="16" t="s">
        <v>43</v>
      </c>
      <c r="D14" s="16" t="s">
        <v>169</v>
      </c>
      <c r="E14" s="3" t="s">
        <v>161</v>
      </c>
      <c r="F14" s="16" t="s">
        <v>168</v>
      </c>
      <c r="L14" s="3" t="str">
        <f>_xlfn.CONCAT(Metadata!$B$1,"_Quarterly_USFF")</f>
        <v>202503_Quarterly_USFF</v>
      </c>
    </row>
    <row r="15" spans="1:16">
      <c r="A15" s="16" t="str">
        <f>_xlfn.CONCAT("RMS_EDM_",Metadata!$B$1,"_Quarterly_USFF")</f>
        <v>RMS_EDM_202503_Quarterly_USFF</v>
      </c>
      <c r="B15" s="16" t="s">
        <v>44</v>
      </c>
      <c r="C15" s="16" t="s">
        <v>44</v>
      </c>
      <c r="D15" s="16" t="s">
        <v>169</v>
      </c>
      <c r="E15" s="3" t="s">
        <v>161</v>
      </c>
      <c r="F15" s="16" t="s">
        <v>168</v>
      </c>
      <c r="G15" s="3" t="s">
        <v>123</v>
      </c>
      <c r="H15" s="3" t="s">
        <v>128</v>
      </c>
      <c r="L15" s="3" t="str">
        <f>_xlfn.CONCAT(Metadata!$B$1,"_Quarterly_USFF")</f>
        <v>202503_Quarterly_USFF</v>
      </c>
    </row>
    <row r="16" spans="1:16">
      <c r="A16" s="16" t="str">
        <f>_xlfn.CONCAT("RMS_EDM_",Metadata!$B$1,"_Quarterly_USFF")</f>
        <v>RMS_EDM_202503_Quarterly_USFF</v>
      </c>
      <c r="B16" s="16" t="s">
        <v>45</v>
      </c>
      <c r="C16" s="16" t="s">
        <v>45</v>
      </c>
      <c r="D16" s="16" t="s">
        <v>169</v>
      </c>
      <c r="E16" s="3" t="s">
        <v>161</v>
      </c>
      <c r="F16" s="16" t="s">
        <v>168</v>
      </c>
      <c r="G16" s="3" t="s">
        <v>123</v>
      </c>
      <c r="H16" s="3" t="s">
        <v>128</v>
      </c>
      <c r="L16" s="3" t="str">
        <f>_xlfn.CONCAT(Metadata!$B$1,"_Quarterly_USFF")</f>
        <v>202503_Quarterly_USFF</v>
      </c>
    </row>
    <row r="17" spans="1:12">
      <c r="A17" s="16" t="str">
        <f>_xlfn.CONCAT("RMS_EDM_",Metadata!$B$1,"_Quarterly_USFF")</f>
        <v>RMS_EDM_202503_Quarterly_USFF</v>
      </c>
      <c r="B17" s="16" t="s">
        <v>46</v>
      </c>
      <c r="C17" s="16" t="s">
        <v>46</v>
      </c>
      <c r="D17" s="16" t="s">
        <v>169</v>
      </c>
      <c r="E17" s="3" t="s">
        <v>161</v>
      </c>
      <c r="F17" s="16" t="s">
        <v>168</v>
      </c>
      <c r="G17" s="3" t="s">
        <v>123</v>
      </c>
      <c r="H17" s="3" t="s">
        <v>128</v>
      </c>
      <c r="L17" s="3" t="str">
        <f>_xlfn.CONCAT(Metadata!$B$1,"_Quarterly_USFF")</f>
        <v>202503_Quarterly_USFF</v>
      </c>
    </row>
    <row r="18" spans="1:12">
      <c r="A18" s="16" t="str">
        <f>_xlfn.CONCAT("RMS_EDM_",Metadata!$B$1,"_Quarterly_USFF")</f>
        <v>RMS_EDM_202503_Quarterly_USFF</v>
      </c>
      <c r="B18" s="16" t="s">
        <v>47</v>
      </c>
      <c r="C18" s="16" t="s">
        <v>47</v>
      </c>
      <c r="D18" s="16" t="s">
        <v>169</v>
      </c>
      <c r="E18" s="3" t="s">
        <v>161</v>
      </c>
      <c r="F18" s="16" t="s">
        <v>168</v>
      </c>
      <c r="G18" s="3" t="s">
        <v>123</v>
      </c>
      <c r="H18" s="3" t="s">
        <v>128</v>
      </c>
      <c r="L18" s="3" t="str">
        <f>_xlfn.CONCAT(Metadata!$B$1,"_Quarterly_USFF")</f>
        <v>202503_Quarterly_USFF</v>
      </c>
    </row>
    <row r="19" spans="1:12">
      <c r="A19" s="16" t="str">
        <f>_xlfn.CONCAT("RMS_EDM_",Metadata!$B$1,"_Quarterly_USFF")</f>
        <v>RMS_EDM_202503_Quarterly_USFF</v>
      </c>
      <c r="B19" s="16" t="s">
        <v>48</v>
      </c>
      <c r="C19" s="16" t="s">
        <v>48</v>
      </c>
      <c r="D19" s="16" t="s">
        <v>169</v>
      </c>
      <c r="E19" s="3" t="s">
        <v>161</v>
      </c>
      <c r="F19" s="16" t="s">
        <v>168</v>
      </c>
      <c r="G19" s="3" t="s">
        <v>123</v>
      </c>
      <c r="H19" s="3" t="s">
        <v>128</v>
      </c>
      <c r="L19" s="3" t="str">
        <f>_xlfn.CONCAT(Metadata!$B$1,"_Quarterly_USFF")</f>
        <v>202503_Quarterly_USFF</v>
      </c>
    </row>
    <row r="20" spans="1:12">
      <c r="A20" s="16" t="str">
        <f>_xlfn.CONCAT("RMS_EDM_",Metadata!$B$1,"_Quarterly_USFF")</f>
        <v>RMS_EDM_202503_Quarterly_USFF</v>
      </c>
      <c r="B20" s="16" t="s">
        <v>49</v>
      </c>
      <c r="C20" s="16" t="s">
        <v>49</v>
      </c>
      <c r="D20" s="16" t="s">
        <v>169</v>
      </c>
      <c r="E20" s="3" t="s">
        <v>161</v>
      </c>
      <c r="F20" s="16" t="s">
        <v>168</v>
      </c>
      <c r="G20" s="3" t="s">
        <v>123</v>
      </c>
      <c r="H20" s="3" t="s">
        <v>128</v>
      </c>
      <c r="L20" s="3" t="str">
        <f>_xlfn.CONCAT(Metadata!$B$1,"_Quarterly_USFF")</f>
        <v>202503_Quarterly_USFF</v>
      </c>
    </row>
    <row r="21" spans="1:12">
      <c r="A21" s="16" t="str">
        <f>_xlfn.CONCAT("RMS_EDM_",Metadata!$B$1,"_Quarterly_USFL")</f>
        <v>RMS_EDM_202503_Quarterly_USFL</v>
      </c>
      <c r="B21" s="16" t="s">
        <v>53</v>
      </c>
      <c r="C21" s="16" t="s">
        <v>170</v>
      </c>
      <c r="D21" s="16" t="s">
        <v>171</v>
      </c>
      <c r="E21" s="3" t="s">
        <v>161</v>
      </c>
      <c r="F21" s="16" t="s">
        <v>162</v>
      </c>
      <c r="G21" s="3" t="s">
        <v>123</v>
      </c>
      <c r="H21" s="3" t="s">
        <v>128</v>
      </c>
      <c r="L21" s="3" t="str">
        <f>_xlfn.CONCAT(Metadata!$B$1,"_Quarterly_USFL_LT")</f>
        <v>202503_Quarterly_USFL_LT</v>
      </c>
    </row>
    <row r="22" spans="1:12">
      <c r="A22" s="16" t="str">
        <f>_xlfn.CONCAT("RMS_EDM_",Metadata!$B$1,"_Quarterly_USFL")</f>
        <v>RMS_EDM_202503_Quarterly_USFL</v>
      </c>
      <c r="B22" s="16" t="s">
        <v>54</v>
      </c>
      <c r="C22" s="16" t="s">
        <v>172</v>
      </c>
      <c r="D22" s="16" t="s">
        <v>171</v>
      </c>
      <c r="E22" s="3" t="s">
        <v>161</v>
      </c>
      <c r="F22" s="16" t="s">
        <v>162</v>
      </c>
      <c r="G22" s="3" t="s">
        <v>123</v>
      </c>
      <c r="H22" s="3" t="s">
        <v>128</v>
      </c>
      <c r="L22" s="3" t="str">
        <f>_xlfn.CONCAT(Metadata!$B$1,"_Quarterly_USFL_LT")</f>
        <v>202503_Quarterly_USFL_LT</v>
      </c>
    </row>
    <row r="23" spans="1:12">
      <c r="A23" s="16" t="str">
        <f>_xlfn.CONCAT("RMS_EDM_",Metadata!$B$1,"_Quarterly_USFL")</f>
        <v>RMS_EDM_202503_Quarterly_USFL</v>
      </c>
      <c r="B23" s="16" t="s">
        <v>55</v>
      </c>
      <c r="C23" s="16" t="s">
        <v>173</v>
      </c>
      <c r="D23" s="16" t="s">
        <v>171</v>
      </c>
      <c r="E23" s="3" t="s">
        <v>161</v>
      </c>
      <c r="F23" s="16" t="s">
        <v>162</v>
      </c>
      <c r="G23" s="3" t="s">
        <v>123</v>
      </c>
      <c r="H23" s="3" t="s">
        <v>128</v>
      </c>
      <c r="L23" s="3" t="str">
        <f>_xlfn.CONCAT(Metadata!$B$1,"_Quarterly_USFL_LT")</f>
        <v>202503_Quarterly_USFL_LT</v>
      </c>
    </row>
    <row r="24" spans="1:12">
      <c r="A24" s="16" t="str">
        <f>_xlfn.CONCAT("RMS_EDM_",Metadata!$B$1,"_Quarterly_USFL")</f>
        <v>RMS_EDM_202503_Quarterly_USFL</v>
      </c>
      <c r="B24" s="16" t="s">
        <v>57</v>
      </c>
      <c r="C24" s="16" t="s">
        <v>174</v>
      </c>
      <c r="D24" s="16" t="s">
        <v>171</v>
      </c>
      <c r="E24" s="3" t="s">
        <v>161</v>
      </c>
      <c r="F24" s="16" t="s">
        <v>162</v>
      </c>
      <c r="G24" s="3" t="s">
        <v>123</v>
      </c>
      <c r="H24" s="3" t="s">
        <v>128</v>
      </c>
      <c r="L24" s="3" t="str">
        <f>_xlfn.CONCAT(Metadata!$B$1,"_Quarterly_USFL_LT")</f>
        <v>202503_Quarterly_USFL_LT</v>
      </c>
    </row>
    <row r="25" spans="1:12">
      <c r="A25" s="16" t="str">
        <f>_xlfn.CONCAT("RMS_EDM_",Metadata!$B$1,"_Quarterly_USFL")</f>
        <v>RMS_EDM_202503_Quarterly_USFL</v>
      </c>
      <c r="B25" s="16" t="s">
        <v>58</v>
      </c>
      <c r="C25" s="16" t="s">
        <v>175</v>
      </c>
      <c r="D25" s="16" t="s">
        <v>176</v>
      </c>
      <c r="E25" s="3" t="s">
        <v>161</v>
      </c>
      <c r="F25" s="16" t="s">
        <v>162</v>
      </c>
      <c r="G25" s="3" t="s">
        <v>123</v>
      </c>
      <c r="H25" s="3" t="s">
        <v>128</v>
      </c>
      <c r="L25" s="3" t="str">
        <f>_xlfn.CONCAT(Metadata!$B$1,"_Quarterly_USFL_LT")</f>
        <v>202503_Quarterly_USFL_LT</v>
      </c>
    </row>
    <row r="26" spans="1:12">
      <c r="A26" s="16" t="str">
        <f>_xlfn.CONCAT("RMS_EDM_",Metadata!$B$1,"_Quarterly_USFL")</f>
        <v>RMS_EDM_202503_Quarterly_USFL</v>
      </c>
      <c r="B26" s="16" t="s">
        <v>59</v>
      </c>
      <c r="C26" s="16" t="s">
        <v>177</v>
      </c>
      <c r="D26" s="16" t="s">
        <v>176</v>
      </c>
      <c r="E26" s="3" t="s">
        <v>161</v>
      </c>
      <c r="F26" s="16" t="s">
        <v>162</v>
      </c>
      <c r="G26" s="3" t="s">
        <v>123</v>
      </c>
      <c r="H26" s="3" t="s">
        <v>128</v>
      </c>
      <c r="L26" s="3" t="str">
        <f>_xlfn.CONCAT(Metadata!$B$1,"_Quarterly_USFL_LT")</f>
        <v>202503_Quarterly_USFL_LT</v>
      </c>
    </row>
    <row r="27" spans="1:12">
      <c r="A27" s="16" t="str">
        <f>_xlfn.CONCAT("RMS_EDM_",Metadata!$B$1,"_Quarterly_USHU")</f>
        <v>RMS_EDM_202503_Quarterly_USHU</v>
      </c>
      <c r="B27" s="16" t="s">
        <v>60</v>
      </c>
      <c r="C27" s="16" t="s">
        <v>178</v>
      </c>
      <c r="D27" s="16" t="s">
        <v>179</v>
      </c>
      <c r="E27" s="3" t="s">
        <v>161</v>
      </c>
      <c r="F27" s="16" t="s">
        <v>162</v>
      </c>
      <c r="G27" s="3" t="s">
        <v>129</v>
      </c>
      <c r="L27" s="3" t="str">
        <f>_xlfn.CONCAT(Metadata!$B$1,"_Quarterly_USHU_LT")</f>
        <v>202503_Quarterly_USHU_LT</v>
      </c>
    </row>
    <row r="28" spans="1:12">
      <c r="A28" s="16" t="str">
        <f>_xlfn.CONCAT("RMS_EDM_",Metadata!$B$1,"_Quarterly_USHU")</f>
        <v>RMS_EDM_202503_Quarterly_USHU</v>
      </c>
      <c r="B28" s="16" t="s">
        <v>62</v>
      </c>
      <c r="C28" s="16" t="s">
        <v>180</v>
      </c>
      <c r="D28" s="16" t="s">
        <v>179</v>
      </c>
      <c r="E28" s="3" t="s">
        <v>161</v>
      </c>
      <c r="F28" s="16" t="s">
        <v>162</v>
      </c>
      <c r="G28" s="3" t="s">
        <v>123</v>
      </c>
      <c r="H28" s="3" t="s">
        <v>128</v>
      </c>
      <c r="L28" s="3" t="str">
        <f>_xlfn.CONCAT(Metadata!$B$1,"_Quarterly_USHU_LT")</f>
        <v>202503_Quarterly_USHU_LT</v>
      </c>
    </row>
    <row r="29" spans="1:12">
      <c r="A29" s="16" t="str">
        <f>_xlfn.CONCAT("RMS_EDM_",Metadata!$B$1,"_Quarterly_USHU")</f>
        <v>RMS_EDM_202503_Quarterly_USHU</v>
      </c>
      <c r="B29" s="16" t="s">
        <v>63</v>
      </c>
      <c r="C29" s="16" t="s">
        <v>181</v>
      </c>
      <c r="D29" s="16" t="s">
        <v>182</v>
      </c>
      <c r="E29" s="3" t="s">
        <v>161</v>
      </c>
      <c r="F29" s="16" t="s">
        <v>162</v>
      </c>
      <c r="L29" s="3" t="str">
        <f>_xlfn.CONCAT(Metadata!$B$1,"_Quarterly_USHU_LT")</f>
        <v>202503_Quarterly_USHU_LT</v>
      </c>
    </row>
    <row r="30" spans="1:12">
      <c r="A30" s="16" t="str">
        <f>_xlfn.CONCAT("RMS_EDM_",Metadata!$B$1,"_Quarterly_USHU")</f>
        <v>RMS_EDM_202503_Quarterly_USHU</v>
      </c>
      <c r="B30" s="16" t="s">
        <v>65</v>
      </c>
      <c r="C30" s="16" t="s">
        <v>183</v>
      </c>
      <c r="D30" s="16" t="s">
        <v>182</v>
      </c>
      <c r="E30" s="3" t="s">
        <v>161</v>
      </c>
      <c r="F30" s="16" t="s">
        <v>162</v>
      </c>
      <c r="L30" s="3" t="str">
        <f>_xlfn.CONCAT(Metadata!$B$1,"_Quarterly_USHU_LT")</f>
        <v>202503_Quarterly_USHU_LT</v>
      </c>
    </row>
    <row r="31" spans="1:12">
      <c r="A31" s="16" t="str">
        <f>_xlfn.CONCAT("RMS_EDM_",Metadata!$B$1,"_Quarterly_USHU")</f>
        <v>RMS_EDM_202503_Quarterly_USHU</v>
      </c>
      <c r="B31" s="16" t="s">
        <v>66</v>
      </c>
      <c r="C31" s="16" t="s">
        <v>184</v>
      </c>
      <c r="D31" s="16" t="s">
        <v>182</v>
      </c>
      <c r="E31" s="3" t="s">
        <v>161</v>
      </c>
      <c r="F31" s="16" t="s">
        <v>162</v>
      </c>
      <c r="G31" s="3" t="s">
        <v>123</v>
      </c>
      <c r="H31" s="3" t="s">
        <v>128</v>
      </c>
      <c r="L31" s="3" t="str">
        <f>_xlfn.CONCAT(Metadata!$B$1,"_Quarterly_USHU_LT")</f>
        <v>202503_Quarterly_USHU_LT</v>
      </c>
    </row>
    <row r="32" spans="1:12">
      <c r="A32" s="16" t="str">
        <f>_xlfn.CONCAT("RMS_EDM_",Metadata!$B$1,"_Quarterly_USHU")</f>
        <v>RMS_EDM_202503_Quarterly_USHU</v>
      </c>
      <c r="B32" s="16" t="s">
        <v>67</v>
      </c>
      <c r="C32" s="16" t="s">
        <v>185</v>
      </c>
      <c r="D32" s="16" t="s">
        <v>182</v>
      </c>
      <c r="E32" s="3" t="s">
        <v>161</v>
      </c>
      <c r="F32" s="16" t="s">
        <v>162</v>
      </c>
      <c r="G32" s="3" t="s">
        <v>123</v>
      </c>
      <c r="H32" s="3" t="s">
        <v>128</v>
      </c>
      <c r="L32" s="3" t="str">
        <f>_xlfn.CONCAT(Metadata!$B$1,"_Quarterly_USHU_LT")</f>
        <v>202503_Quarterly_USHU_LT</v>
      </c>
    </row>
    <row r="33" spans="1:12">
      <c r="A33" s="16" t="str">
        <f>_xlfn.CONCAT("RMS_EDM_",Metadata!$B$1,"_Quarterly_USHU")</f>
        <v>RMS_EDM_202503_Quarterly_USHU</v>
      </c>
      <c r="B33" s="16" t="s">
        <v>68</v>
      </c>
      <c r="C33" s="16" t="s">
        <v>186</v>
      </c>
      <c r="D33" s="16" t="s">
        <v>182</v>
      </c>
      <c r="E33" s="3" t="s">
        <v>161</v>
      </c>
      <c r="F33" s="16" t="s">
        <v>162</v>
      </c>
      <c r="G33" s="3" t="s">
        <v>123</v>
      </c>
      <c r="H33" s="3" t="s">
        <v>128</v>
      </c>
      <c r="L33" s="3" t="str">
        <f>_xlfn.CONCAT(Metadata!$B$1,"_Quarterly_USHU_LT")</f>
        <v>202503_Quarterly_USHU_LT</v>
      </c>
    </row>
    <row r="34" spans="1:12">
      <c r="A34" s="16" t="str">
        <f>_xlfn.CONCAT("RMS_EDM_",Metadata!$B$1,"_Quarterly_USHU")</f>
        <v>RMS_EDM_202503_Quarterly_USHU</v>
      </c>
      <c r="B34" s="16" t="s">
        <v>69</v>
      </c>
      <c r="C34" s="16" t="s">
        <v>187</v>
      </c>
      <c r="D34" s="16" t="s">
        <v>182</v>
      </c>
      <c r="E34" s="3" t="s">
        <v>161</v>
      </c>
      <c r="F34" s="16" t="s">
        <v>162</v>
      </c>
      <c r="G34" s="3" t="s">
        <v>123</v>
      </c>
      <c r="H34" s="3" t="s">
        <v>128</v>
      </c>
      <c r="L34" s="3" t="str">
        <f>_xlfn.CONCAT(Metadata!$B$1,"_Quarterly_USHU_LT")</f>
        <v>202503_Quarterly_USHU_LT</v>
      </c>
    </row>
    <row r="35" spans="1:12">
      <c r="A35" s="16" t="str">
        <f>_xlfn.CONCAT("RMS_EDM_",Metadata!$B$1,"_Quarterly_USHU")</f>
        <v>RMS_EDM_202503_Quarterly_USHU</v>
      </c>
      <c r="B35" s="16" t="s">
        <v>70</v>
      </c>
      <c r="C35" s="16" t="s">
        <v>188</v>
      </c>
      <c r="D35" s="16" t="s">
        <v>179</v>
      </c>
      <c r="E35" s="3" t="s">
        <v>161</v>
      </c>
      <c r="F35" s="16" t="s">
        <v>162</v>
      </c>
      <c r="L35" s="3" t="str">
        <f>_xlfn.CONCAT(Metadata!$B$1,"_Quarterly_USHU_LT")</f>
        <v>202503_Quarterly_USHU_LT</v>
      </c>
    </row>
    <row r="36" spans="1:12">
      <c r="A36" s="16" t="str">
        <f>_xlfn.CONCAT("RMS_EDM_",Metadata!$B$1,"_Quarterly_USHU")</f>
        <v>RMS_EDM_202503_Quarterly_USHU</v>
      </c>
      <c r="B36" s="16" t="s">
        <v>71</v>
      </c>
      <c r="C36" s="16" t="s">
        <v>189</v>
      </c>
      <c r="D36" s="16" t="s">
        <v>179</v>
      </c>
      <c r="E36" s="3" t="s">
        <v>161</v>
      </c>
      <c r="F36" s="16" t="s">
        <v>162</v>
      </c>
      <c r="L36" s="3" t="str">
        <f>_xlfn.CONCAT(Metadata!$B$1,"_Quarterly_USHU_LT")</f>
        <v>202503_Quarterly_USHU_LT</v>
      </c>
    </row>
    <row r="37" spans="1:12">
      <c r="A37" s="16" t="str">
        <f>_xlfn.CONCAT("RMS_EDM_",Metadata!$B$1,"_Quarterly_USHU")</f>
        <v>RMS_EDM_202503_Quarterly_USHU</v>
      </c>
      <c r="B37" s="16" t="s">
        <v>72</v>
      </c>
      <c r="C37" s="16" t="s">
        <v>190</v>
      </c>
      <c r="D37" s="16" t="s">
        <v>179</v>
      </c>
      <c r="E37" s="3" t="s">
        <v>161</v>
      </c>
      <c r="F37" s="16" t="s">
        <v>162</v>
      </c>
      <c r="G37" s="3" t="s">
        <v>123</v>
      </c>
      <c r="H37" s="3" t="s">
        <v>128</v>
      </c>
      <c r="L37" s="3" t="str">
        <f>_xlfn.CONCAT(Metadata!$B$1,"_Quarterly_USHU_LT")</f>
        <v>202503_Quarterly_USHU_LT</v>
      </c>
    </row>
    <row r="38" spans="1:12">
      <c r="A38" s="16" t="str">
        <f>_xlfn.CONCAT("RMS_EDM_",Metadata!$B$1,"_Quarterly_USHU")</f>
        <v>RMS_EDM_202503_Quarterly_USHU</v>
      </c>
      <c r="B38" s="16" t="s">
        <v>73</v>
      </c>
      <c r="C38" s="16" t="s">
        <v>191</v>
      </c>
      <c r="D38" s="16" t="s">
        <v>179</v>
      </c>
      <c r="E38" s="3" t="s">
        <v>161</v>
      </c>
      <c r="F38" s="16" t="s">
        <v>162</v>
      </c>
      <c r="G38" s="3" t="s">
        <v>123</v>
      </c>
      <c r="H38" s="3" t="s">
        <v>128</v>
      </c>
      <c r="L38" s="3" t="str">
        <f>_xlfn.CONCAT(Metadata!$B$1,"_Quarterly_USHU_LT")</f>
        <v>202503_Quarterly_USHU_LT</v>
      </c>
    </row>
    <row r="39" spans="1:12">
      <c r="A39" s="16" t="str">
        <f>_xlfn.CONCAT("RMS_EDM_",Metadata!$B$1,"_Quarterly_USHU")</f>
        <v>RMS_EDM_202503_Quarterly_USHU</v>
      </c>
      <c r="B39" s="16" t="s">
        <v>74</v>
      </c>
      <c r="C39" s="16" t="s">
        <v>192</v>
      </c>
      <c r="D39" s="16" t="s">
        <v>179</v>
      </c>
      <c r="E39" s="3" t="s">
        <v>161</v>
      </c>
      <c r="F39" s="16" t="s">
        <v>162</v>
      </c>
      <c r="G39" s="3" t="s">
        <v>123</v>
      </c>
      <c r="H39" s="3" t="s">
        <v>128</v>
      </c>
      <c r="L39" s="3" t="str">
        <f>_xlfn.CONCAT(Metadata!$B$1,"_Quarterly_USHU_LT")</f>
        <v>202503_Quarterly_USHU_LT</v>
      </c>
    </row>
    <row r="40" spans="1:12">
      <c r="A40" s="16" t="str">
        <f>_xlfn.CONCAT("RMS_EDM_",Metadata!$B$1,"_Quarterly_USHU")</f>
        <v>RMS_EDM_202503_Quarterly_USHU</v>
      </c>
      <c r="B40" s="16" t="s">
        <v>75</v>
      </c>
      <c r="C40" s="16" t="s">
        <v>193</v>
      </c>
      <c r="D40" s="16" t="s">
        <v>179</v>
      </c>
      <c r="E40" s="3" t="s">
        <v>161</v>
      </c>
      <c r="F40" s="16" t="s">
        <v>162</v>
      </c>
      <c r="G40" s="3" t="s">
        <v>123</v>
      </c>
      <c r="H40" s="3" t="s">
        <v>128</v>
      </c>
      <c r="L40" s="3" t="str">
        <f>_xlfn.CONCAT(Metadata!$B$1,"_Quarterly_USHU_LT")</f>
        <v>202503_Quarterly_USHU_LT</v>
      </c>
    </row>
    <row r="41" spans="1:12">
      <c r="A41" s="16" t="str">
        <f>_xlfn.CONCAT("RMS_EDM_",Metadata!$B$1,"_Quarterly_USHU")</f>
        <v>RMS_EDM_202503_Quarterly_USHU</v>
      </c>
      <c r="B41" s="16" t="s">
        <v>76</v>
      </c>
      <c r="C41" s="16" t="s">
        <v>194</v>
      </c>
      <c r="D41" s="16" t="s">
        <v>179</v>
      </c>
      <c r="E41" s="3" t="s">
        <v>161</v>
      </c>
      <c r="F41" s="16" t="s">
        <v>162</v>
      </c>
      <c r="G41" s="3" t="s">
        <v>123</v>
      </c>
      <c r="H41" s="3" t="s">
        <v>128</v>
      </c>
      <c r="L41" s="3" t="str">
        <f>_xlfn.CONCAT(Metadata!$B$1,"_Quarterly_USHU_LT")</f>
        <v>202503_Quarterly_USHU_LT</v>
      </c>
    </row>
    <row r="42" spans="1:12">
      <c r="A42" s="16" t="str">
        <f>_xlfn.CONCAT("RMS_EDM_",Metadata!$B$1,"_Quarterly_USHU")</f>
        <v>RMS_EDM_202503_Quarterly_USHU</v>
      </c>
      <c r="B42" s="16" t="s">
        <v>77</v>
      </c>
      <c r="C42" s="16" t="s">
        <v>195</v>
      </c>
      <c r="D42" s="16" t="s">
        <v>179</v>
      </c>
      <c r="E42" s="3" t="s">
        <v>161</v>
      </c>
      <c r="F42" s="16" t="s">
        <v>162</v>
      </c>
      <c r="G42" s="3" t="s">
        <v>123</v>
      </c>
      <c r="H42" s="3" t="s">
        <v>128</v>
      </c>
      <c r="L42" s="3" t="str">
        <f>_xlfn.CONCAT(Metadata!$B$1,"_Quarterly_USHU_LT")</f>
        <v>202503_Quarterly_USHU_LT</v>
      </c>
    </row>
    <row r="43" spans="1:12">
      <c r="A43" s="16" t="str">
        <f>_xlfn.CONCAT("RMS_EDM_",Metadata!$B$1,"_Quarterly_USST")</f>
        <v>RMS_EDM_202503_Quarterly_USST</v>
      </c>
      <c r="B43" s="16" t="s">
        <v>78</v>
      </c>
      <c r="C43" s="16" t="s">
        <v>196</v>
      </c>
      <c r="D43" s="16" t="s">
        <v>197</v>
      </c>
      <c r="E43" s="3" t="s">
        <v>161</v>
      </c>
      <c r="F43" s="16" t="s">
        <v>198</v>
      </c>
      <c r="L43" s="3" t="str">
        <f>_xlfn.CONCAT(Metadata!$B$1,"_Quarterly_USST")</f>
        <v>202503_Quarterly_USST</v>
      </c>
    </row>
    <row r="44" spans="1:12">
      <c r="A44" s="16" t="str">
        <f>_xlfn.CONCAT("RMS_EDM_",Metadata!$B$1,"_Quarterly_USST")</f>
        <v>RMS_EDM_202503_Quarterly_USST</v>
      </c>
      <c r="B44" s="16" t="s">
        <v>80</v>
      </c>
      <c r="C44" s="16" t="s">
        <v>199</v>
      </c>
      <c r="D44" s="16" t="s">
        <v>197</v>
      </c>
      <c r="E44" s="3" t="s">
        <v>161</v>
      </c>
      <c r="F44" s="16" t="s">
        <v>198</v>
      </c>
      <c r="L44" s="3" t="str">
        <f>_xlfn.CONCAT(Metadata!$B$1,"_Quarterly_USST")</f>
        <v>202503_Quarterly_USST</v>
      </c>
    </row>
    <row r="45" spans="1:12">
      <c r="A45" s="16" t="str">
        <f>_xlfn.CONCAT("RMS_EDM_",Metadata!$B$1,"_Quarterly_USST")</f>
        <v>RMS_EDM_202503_Quarterly_USST</v>
      </c>
      <c r="B45" s="16" t="s">
        <v>81</v>
      </c>
      <c r="C45" s="16" t="s">
        <v>200</v>
      </c>
      <c r="D45" s="16" t="s">
        <v>197</v>
      </c>
      <c r="E45" s="3" t="s">
        <v>161</v>
      </c>
      <c r="F45" s="16" t="s">
        <v>198</v>
      </c>
      <c r="G45" s="3" t="s">
        <v>123</v>
      </c>
      <c r="H45" s="3" t="s">
        <v>128</v>
      </c>
      <c r="L45" s="3" t="str">
        <f>_xlfn.CONCAT(Metadata!$B$1,"_Quarterly_USST")</f>
        <v>202503_Quarterly_USST</v>
      </c>
    </row>
    <row r="46" spans="1:12">
      <c r="A46" s="16" t="str">
        <f>_xlfn.CONCAT("RMS_EDM_",Metadata!$B$1,"_Quarterly_USST")</f>
        <v>RMS_EDM_202503_Quarterly_USST</v>
      </c>
      <c r="B46" s="16" t="s">
        <v>82</v>
      </c>
      <c r="C46" s="16" t="s">
        <v>201</v>
      </c>
      <c r="D46" s="16" t="s">
        <v>197</v>
      </c>
      <c r="E46" s="3" t="s">
        <v>161</v>
      </c>
      <c r="F46" s="16" t="s">
        <v>198</v>
      </c>
      <c r="G46" s="3" t="s">
        <v>123</v>
      </c>
      <c r="H46" s="3" t="s">
        <v>128</v>
      </c>
      <c r="L46" s="3" t="str">
        <f>_xlfn.CONCAT(Metadata!$B$1,"_Quarterly_USST")</f>
        <v>202503_Quarterly_USST</v>
      </c>
    </row>
    <row r="47" spans="1:12">
      <c r="A47" s="16" t="str">
        <f>_xlfn.CONCAT("RMS_EDM_",Metadata!$B$1,"_Quarterly_USST")</f>
        <v>RMS_EDM_202503_Quarterly_USST</v>
      </c>
      <c r="B47" s="16" t="s">
        <v>83</v>
      </c>
      <c r="C47" s="16" t="s">
        <v>202</v>
      </c>
      <c r="D47" s="16" t="s">
        <v>197</v>
      </c>
      <c r="E47" s="3" t="s">
        <v>161</v>
      </c>
      <c r="F47" s="16" t="s">
        <v>198</v>
      </c>
      <c r="G47" s="3" t="s">
        <v>123</v>
      </c>
      <c r="H47" s="3" t="s">
        <v>128</v>
      </c>
      <c r="L47" s="3" t="str">
        <f>_xlfn.CONCAT(Metadata!$B$1,"_Quarterly_USST")</f>
        <v>202503_Quarterly_USST</v>
      </c>
    </row>
    <row r="48" spans="1:12">
      <c r="A48" s="16" t="str">
        <f>_xlfn.CONCAT("RMS_EDM_",Metadata!$B$1,"_Quarterly_USST")</f>
        <v>RMS_EDM_202503_Quarterly_USST</v>
      </c>
      <c r="B48" s="16" t="s">
        <v>84</v>
      </c>
      <c r="C48" s="16" t="s">
        <v>203</v>
      </c>
      <c r="D48" s="16" t="s">
        <v>197</v>
      </c>
      <c r="E48" s="3" t="s">
        <v>161</v>
      </c>
      <c r="F48" s="16" t="s">
        <v>198</v>
      </c>
      <c r="G48" s="3" t="s">
        <v>123</v>
      </c>
      <c r="H48" s="3" t="s">
        <v>128</v>
      </c>
      <c r="L48" s="3" t="str">
        <f>_xlfn.CONCAT(Metadata!$B$1,"_Quarterly_USST")</f>
        <v>202503_Quarterly_USST</v>
      </c>
    </row>
    <row r="49" spans="1:12">
      <c r="A49" s="16" t="str">
        <f>_xlfn.CONCAT("RMS_EDM_",Metadata!$B$1,"_Quarterly_USST")</f>
        <v>RMS_EDM_202503_Quarterly_USST</v>
      </c>
      <c r="B49" s="16" t="s">
        <v>85</v>
      </c>
      <c r="C49" s="16" t="s">
        <v>204</v>
      </c>
      <c r="D49" s="16" t="s">
        <v>197</v>
      </c>
      <c r="E49" s="3" t="s">
        <v>161</v>
      </c>
      <c r="F49" s="16" t="s">
        <v>198</v>
      </c>
      <c r="G49" s="3" t="s">
        <v>123</v>
      </c>
      <c r="H49" s="3" t="s">
        <v>128</v>
      </c>
      <c r="L49" s="3" t="str">
        <f>_xlfn.CONCAT(Metadata!$B$1,"_Quarterly_USST")</f>
        <v>202503_Quarterly_USST</v>
      </c>
    </row>
    <row r="50" spans="1:12">
      <c r="A50" s="16" t="str">
        <f>_xlfn.CONCAT("RMS_EDM_",Metadata!$B$1,"_Quarterly_USST")</f>
        <v>RMS_EDM_202503_Quarterly_USST</v>
      </c>
      <c r="B50" s="16" t="s">
        <v>86</v>
      </c>
      <c r="C50" s="16" t="s">
        <v>205</v>
      </c>
      <c r="D50" s="16" t="s">
        <v>197</v>
      </c>
      <c r="E50" s="3" t="s">
        <v>161</v>
      </c>
      <c r="F50" s="16" t="s">
        <v>198</v>
      </c>
      <c r="G50" s="3" t="s">
        <v>129</v>
      </c>
      <c r="L50" s="3" t="str">
        <f>_xlfn.CONCAT(Metadata!$B$1,"_Quarterly_USST")</f>
        <v>202503_Quarterly_USST</v>
      </c>
    </row>
    <row r="51" spans="1:12">
      <c r="A51" s="16" t="str">
        <f>_xlfn.CONCAT("RMS_EDM_",Metadata!$B$1,"_Quarterly_USST")</f>
        <v>RMS_EDM_202503_Quarterly_USST</v>
      </c>
      <c r="B51" s="16" t="s">
        <v>87</v>
      </c>
      <c r="C51" s="16" t="s">
        <v>206</v>
      </c>
      <c r="D51" s="16" t="s">
        <v>197</v>
      </c>
      <c r="E51" s="3" t="s">
        <v>161</v>
      </c>
      <c r="F51" s="16" t="s">
        <v>198</v>
      </c>
      <c r="G51" s="3" t="s">
        <v>123</v>
      </c>
      <c r="H51" s="3" t="s">
        <v>128</v>
      </c>
      <c r="L51" s="3" t="str">
        <f>_xlfn.CONCAT(Metadata!$B$1,"_Quarterly_USST")</f>
        <v>202503_Quarterly_USST</v>
      </c>
    </row>
    <row r="52" spans="1:12">
      <c r="A52" s="16" t="str">
        <f>_xlfn.CONCAT("RMS_EDM_",Metadata!$B$1,"_Quarterly_USST")</f>
        <v>RMS_EDM_202503_Quarterly_USST</v>
      </c>
      <c r="B52" s="16" t="s">
        <v>88</v>
      </c>
      <c r="C52" s="16" t="s">
        <v>207</v>
      </c>
      <c r="D52" s="16" t="s">
        <v>197</v>
      </c>
      <c r="E52" s="3" t="s">
        <v>161</v>
      </c>
      <c r="F52" s="16" t="s">
        <v>198</v>
      </c>
      <c r="G52" s="3" t="s">
        <v>123</v>
      </c>
      <c r="H52" s="3" t="s">
        <v>128</v>
      </c>
      <c r="L52" s="3" t="str">
        <f>_xlfn.CONCAT(Metadata!$B$1,"_Quarterly_USST")</f>
        <v>202503_Quarterly_USST</v>
      </c>
    </row>
    <row r="53" spans="1:12">
      <c r="A53" s="16" t="str">
        <f>_xlfn.CONCAT("RMS_EDM_",Metadata!$B$1,"_Quarterly_USWF")</f>
        <v>RMS_EDM_202503_Quarterly_USWF</v>
      </c>
      <c r="B53" s="16" t="s">
        <v>89</v>
      </c>
      <c r="C53" s="16" t="s">
        <v>89</v>
      </c>
      <c r="D53" s="16" t="s">
        <v>553</v>
      </c>
      <c r="E53" s="3" t="s">
        <v>161</v>
      </c>
      <c r="L53" s="3" t="str">
        <f>_xlfn.CONCAT(Metadata!$B$1,"_Quarterly_USWF")</f>
        <v>202503_Quarterly_USWF</v>
      </c>
    </row>
    <row r="54" spans="1:12">
      <c r="A54" s="16" t="str">
        <f>_xlfn.CONCAT("RMS_EDM_",Metadata!$B$1,"_Quarterly_USWF")</f>
        <v>RMS_EDM_202503_Quarterly_USWF</v>
      </c>
      <c r="B54" s="16" t="s">
        <v>91</v>
      </c>
      <c r="C54" s="16" t="s">
        <v>91</v>
      </c>
      <c r="D54" s="16" t="s">
        <v>553</v>
      </c>
      <c r="E54" s="3" t="s">
        <v>161</v>
      </c>
      <c r="L54" s="3" t="str">
        <f>_xlfn.CONCAT(Metadata!$B$1,"_Quarterly_USWF")</f>
        <v>202503_Quarterly_USWF</v>
      </c>
    </row>
    <row r="55" spans="1:12">
      <c r="A55" s="16" t="str">
        <f>_xlfn.CONCAT("RMS_EDM_",Metadata!$B$1,"_Quarterly_USWF")</f>
        <v>RMS_EDM_202503_Quarterly_USWF</v>
      </c>
      <c r="B55" s="16" t="s">
        <v>92</v>
      </c>
      <c r="C55" s="16" t="s">
        <v>92</v>
      </c>
      <c r="D55" s="16" t="s">
        <v>553</v>
      </c>
      <c r="E55" s="3" t="s">
        <v>161</v>
      </c>
      <c r="G55" s="3" t="s">
        <v>123</v>
      </c>
      <c r="H55" s="3" t="s">
        <v>128</v>
      </c>
      <c r="L55" s="3" t="str">
        <f>_xlfn.CONCAT(Metadata!$B$1,"_Quarterly_USWF")</f>
        <v>202503_Quarterly_USWF</v>
      </c>
    </row>
    <row r="56" spans="1:12">
      <c r="A56" s="16" t="str">
        <f>_xlfn.CONCAT("RMS_EDM_",Metadata!$B$1,"_Quarterly_USWF")</f>
        <v>RMS_EDM_202503_Quarterly_USWF</v>
      </c>
      <c r="B56" s="16" t="s">
        <v>93</v>
      </c>
      <c r="C56" s="16" t="s">
        <v>93</v>
      </c>
      <c r="D56" s="16" t="s">
        <v>553</v>
      </c>
      <c r="E56" s="3" t="s">
        <v>161</v>
      </c>
      <c r="G56" s="3" t="s">
        <v>123</v>
      </c>
      <c r="H56" s="3" t="s">
        <v>128</v>
      </c>
      <c r="L56" s="3" t="str">
        <f>_xlfn.CONCAT(Metadata!$B$1,"_Quarterly_USWF")</f>
        <v>202503_Quarterly_USWF</v>
      </c>
    </row>
    <row r="57" spans="1:12">
      <c r="A57" s="16" t="str">
        <f>_xlfn.CONCAT("RMS_EDM_",Metadata!$B$1,"_Quarterly_USWF")</f>
        <v>RMS_EDM_202503_Quarterly_USWF</v>
      </c>
      <c r="B57" s="16" t="s">
        <v>94</v>
      </c>
      <c r="C57" s="16" t="s">
        <v>94</v>
      </c>
      <c r="D57" s="16" t="s">
        <v>553</v>
      </c>
      <c r="E57" s="3" t="s">
        <v>161</v>
      </c>
      <c r="G57" s="3" t="s">
        <v>123</v>
      </c>
      <c r="H57" s="3" t="s">
        <v>128</v>
      </c>
      <c r="L57" s="3" t="str">
        <f>_xlfn.CONCAT(Metadata!$B$1,"_Quarterly_USWF")</f>
        <v>202503_Quarterly_USWF</v>
      </c>
    </row>
    <row r="58" spans="1:12">
      <c r="A58" s="16" t="str">
        <f>_xlfn.CONCAT("RMS_EDM_",Metadata!$B$1,"_Quarterly_USWF")</f>
        <v>RMS_EDM_202503_Quarterly_USWF</v>
      </c>
      <c r="B58" s="16" t="s">
        <v>95</v>
      </c>
      <c r="C58" s="16" t="s">
        <v>95</v>
      </c>
      <c r="D58" s="16" t="s">
        <v>553</v>
      </c>
      <c r="E58" s="3" t="s">
        <v>161</v>
      </c>
      <c r="G58" s="3" t="s">
        <v>123</v>
      </c>
      <c r="H58" s="3" t="s">
        <v>128</v>
      </c>
      <c r="L58" s="3" t="str">
        <f>_xlfn.CONCAT(Metadata!$B$1,"_Quarterly_USWF")</f>
        <v>202503_Quarterly_USWF</v>
      </c>
    </row>
    <row r="59" spans="1:12">
      <c r="A59" s="16" t="str">
        <f>_xlfn.CONCAT("RMS_EDM_",Metadata!$B$1,"_Quarterly_USWF")</f>
        <v>RMS_EDM_202503_Quarterly_USWF</v>
      </c>
      <c r="B59" s="16" t="s">
        <v>96</v>
      </c>
      <c r="C59" s="16" t="s">
        <v>96</v>
      </c>
      <c r="D59" s="16" t="s">
        <v>553</v>
      </c>
      <c r="E59" s="3" t="s">
        <v>161</v>
      </c>
      <c r="G59" s="3" t="s">
        <v>123</v>
      </c>
      <c r="H59" s="3" t="s">
        <v>128</v>
      </c>
      <c r="L59" s="3" t="str">
        <f>_xlfn.CONCAT(Metadata!$B$1,"_Quarterly_USWF")</f>
        <v>202503_Quarterly_USWF</v>
      </c>
    </row>
    <row r="60" spans="1:12">
      <c r="A60" s="16" t="str">
        <f>_xlfn.CONCAT("RMS_EDM_",Metadata!$B$1,"_Quarterly_USWF")</f>
        <v>RMS_EDM_202503_Quarterly_USWF</v>
      </c>
      <c r="B60" s="16" t="s">
        <v>97</v>
      </c>
      <c r="C60" s="16" t="s">
        <v>97</v>
      </c>
      <c r="D60" s="16" t="s">
        <v>553</v>
      </c>
      <c r="E60" s="3" t="s">
        <v>161</v>
      </c>
      <c r="G60" s="3" t="s">
        <v>129</v>
      </c>
      <c r="L60" s="3" t="str">
        <f>_xlfn.CONCAT(Metadata!$B$1,"_Quarterly_USWF")</f>
        <v>202503_Quarterly_USWF</v>
      </c>
    </row>
    <row r="61" spans="1:12">
      <c r="A61" s="16" t="str">
        <f>_xlfn.CONCAT("RMS_EDM_",Metadata!$B$1,"_Quarterly_USWF")</f>
        <v>RMS_EDM_202503_Quarterly_USWF</v>
      </c>
      <c r="B61" s="16" t="s">
        <v>98</v>
      </c>
      <c r="C61" s="16" t="s">
        <v>98</v>
      </c>
      <c r="D61" s="16" t="s">
        <v>553</v>
      </c>
      <c r="E61" s="3" t="s">
        <v>161</v>
      </c>
      <c r="G61" s="3" t="s">
        <v>123</v>
      </c>
      <c r="H61" s="3" t="s">
        <v>128</v>
      </c>
      <c r="L61" s="3" t="str">
        <f>_xlfn.CONCAT(Metadata!$B$1,"_Quarterly_USWF")</f>
        <v>202503_Quarterly_USWF</v>
      </c>
    </row>
    <row r="62" spans="1:12">
      <c r="A62" s="16" t="str">
        <f>_xlfn.CONCAT("RMS_EDM_",Metadata!$B$1,"_Quarterly_USWF")</f>
        <v>RMS_EDM_202503_Quarterly_USWF</v>
      </c>
      <c r="B62" s="16" t="s">
        <v>99</v>
      </c>
      <c r="C62" s="16" t="s">
        <v>99</v>
      </c>
      <c r="D62" s="16" t="s">
        <v>553</v>
      </c>
      <c r="E62" s="3" t="s">
        <v>161</v>
      </c>
      <c r="G62" s="3" t="s">
        <v>123</v>
      </c>
      <c r="H62" s="3" t="s">
        <v>128</v>
      </c>
      <c r="L62" s="3" t="str">
        <f>_xlfn.CONCAT(Metadata!$B$1,"_Quarterly_USWF")</f>
        <v>202503_Quarterly_USWF</v>
      </c>
    </row>
    <row r="63" spans="1:12">
      <c r="A63" s="16" t="str">
        <f>_xlfn.CONCAT("RMS_EDM_",Metadata!$B$1,"_Quarterly_USFL")</f>
        <v>RMS_EDM_202503_Quarterly_USFL</v>
      </c>
      <c r="B63" s="16" t="s">
        <v>53</v>
      </c>
      <c r="C63" s="16" t="s">
        <v>208</v>
      </c>
      <c r="D63" s="16" t="s">
        <v>209</v>
      </c>
      <c r="E63" s="3" t="s">
        <v>161</v>
      </c>
      <c r="F63" s="3" t="s">
        <v>164</v>
      </c>
      <c r="G63" s="3" t="s">
        <v>123</v>
      </c>
      <c r="H63" s="3" t="s">
        <v>128</v>
      </c>
      <c r="L63" s="3" t="str">
        <f>_xlfn.CONCAT(Metadata!$B$1,"_Quarterly_USFL_NT")</f>
        <v>202503_Quarterly_USFL_NT</v>
      </c>
    </row>
    <row r="64" spans="1:12">
      <c r="A64" s="16" t="str">
        <f>_xlfn.CONCAT("RMS_EDM_",Metadata!$B$1,"_Quarterly_USFL")</f>
        <v>RMS_EDM_202503_Quarterly_USFL</v>
      </c>
      <c r="B64" s="16" t="s">
        <v>54</v>
      </c>
      <c r="C64" s="16" t="s">
        <v>210</v>
      </c>
      <c r="D64" s="16" t="s">
        <v>209</v>
      </c>
      <c r="E64" s="3" t="s">
        <v>161</v>
      </c>
      <c r="F64" s="3" t="s">
        <v>164</v>
      </c>
      <c r="G64" s="3" t="s">
        <v>123</v>
      </c>
      <c r="H64" s="3" t="s">
        <v>128</v>
      </c>
      <c r="L64" s="3" t="str">
        <f>_xlfn.CONCAT(Metadata!$B$1,"_Quarterly_USFL_NT")</f>
        <v>202503_Quarterly_USFL_NT</v>
      </c>
    </row>
    <row r="65" spans="1:12">
      <c r="A65" s="16" t="str">
        <f>_xlfn.CONCAT("RMS_EDM_",Metadata!$B$1,"_Quarterly_USFL")</f>
        <v>RMS_EDM_202503_Quarterly_USFL</v>
      </c>
      <c r="B65" s="16" t="s">
        <v>55</v>
      </c>
      <c r="C65" s="16" t="s">
        <v>211</v>
      </c>
      <c r="D65" s="16" t="s">
        <v>209</v>
      </c>
      <c r="E65" s="3" t="s">
        <v>161</v>
      </c>
      <c r="F65" s="3" t="s">
        <v>164</v>
      </c>
      <c r="G65" s="3" t="s">
        <v>123</v>
      </c>
      <c r="H65" s="3" t="s">
        <v>128</v>
      </c>
      <c r="L65" s="3" t="str">
        <f>_xlfn.CONCAT(Metadata!$B$1,"_Quarterly_USFL_NT")</f>
        <v>202503_Quarterly_USFL_NT</v>
      </c>
    </row>
    <row r="66" spans="1:12">
      <c r="A66" s="16" t="str">
        <f>_xlfn.CONCAT("RMS_EDM_",Metadata!$B$1,"_Quarterly_USFL")</f>
        <v>RMS_EDM_202503_Quarterly_USFL</v>
      </c>
      <c r="B66" s="16" t="s">
        <v>57</v>
      </c>
      <c r="C66" s="16" t="s">
        <v>212</v>
      </c>
      <c r="D66" s="16" t="s">
        <v>209</v>
      </c>
      <c r="E66" s="3" t="s">
        <v>161</v>
      </c>
      <c r="F66" s="3" t="s">
        <v>164</v>
      </c>
      <c r="G66" s="3" t="s">
        <v>123</v>
      </c>
      <c r="H66" s="3" t="s">
        <v>128</v>
      </c>
      <c r="L66" s="3" t="str">
        <f>_xlfn.CONCAT(Metadata!$B$1,"_Quarterly_USFL_NT")</f>
        <v>202503_Quarterly_USFL_NT</v>
      </c>
    </row>
    <row r="67" spans="1:12">
      <c r="A67" s="16" t="str">
        <f>_xlfn.CONCAT("RMS_EDM_",Metadata!$B$1,"_Quarterly_USFL")</f>
        <v>RMS_EDM_202503_Quarterly_USFL</v>
      </c>
      <c r="B67" s="16" t="s">
        <v>58</v>
      </c>
      <c r="C67" s="16" t="s">
        <v>213</v>
      </c>
      <c r="D67" s="16" t="s">
        <v>214</v>
      </c>
      <c r="E67" s="3" t="s">
        <v>161</v>
      </c>
      <c r="F67" s="3" t="s">
        <v>164</v>
      </c>
      <c r="G67" s="3" t="s">
        <v>123</v>
      </c>
      <c r="H67" s="3" t="s">
        <v>128</v>
      </c>
      <c r="L67" s="3" t="str">
        <f>_xlfn.CONCAT(Metadata!$B$1,"_Quarterly_USFL_NT")</f>
        <v>202503_Quarterly_USFL_NT</v>
      </c>
    </row>
    <row r="68" spans="1:12">
      <c r="A68" s="16" t="str">
        <f>_xlfn.CONCAT("RMS_EDM_",Metadata!$B$1,"_Quarterly_USFL")</f>
        <v>RMS_EDM_202503_Quarterly_USFL</v>
      </c>
      <c r="B68" s="16" t="s">
        <v>59</v>
      </c>
      <c r="C68" s="16" t="s">
        <v>215</v>
      </c>
      <c r="D68" s="16" t="s">
        <v>214</v>
      </c>
      <c r="E68" s="3" t="s">
        <v>161</v>
      </c>
      <c r="F68" s="3" t="s">
        <v>164</v>
      </c>
      <c r="G68" s="3" t="s">
        <v>123</v>
      </c>
      <c r="H68" s="3" t="s">
        <v>128</v>
      </c>
      <c r="L68" s="3" t="str">
        <f>_xlfn.CONCAT(Metadata!$B$1,"_Quarterly_USFL_NT")</f>
        <v>202503_Quarterly_USFL_NT</v>
      </c>
    </row>
    <row r="69" spans="1:12">
      <c r="A69" s="16" t="str">
        <f>_xlfn.CONCAT("RMS_EDM_",Metadata!$B$1,"_Quarterly_USHU")</f>
        <v>RMS_EDM_202503_Quarterly_USHU</v>
      </c>
      <c r="B69" s="16" t="s">
        <v>60</v>
      </c>
      <c r="C69" s="16" t="s">
        <v>216</v>
      </c>
      <c r="D69" s="16" t="s">
        <v>179</v>
      </c>
      <c r="E69" s="3" t="s">
        <v>161</v>
      </c>
      <c r="F69" s="3" t="s">
        <v>164</v>
      </c>
      <c r="G69" s="3" t="s">
        <v>129</v>
      </c>
      <c r="L69" s="3" t="str">
        <f>_xlfn.CONCAT(Metadata!$B$1,"_Quarterly_USHU_NT")</f>
        <v>202503_Quarterly_USHU_NT</v>
      </c>
    </row>
    <row r="70" spans="1:12">
      <c r="A70" s="16" t="str">
        <f>_xlfn.CONCAT("RMS_EDM_",Metadata!$B$1,"_Quarterly_USHU")</f>
        <v>RMS_EDM_202503_Quarterly_USHU</v>
      </c>
      <c r="B70" s="16" t="s">
        <v>62</v>
      </c>
      <c r="C70" s="16" t="s">
        <v>217</v>
      </c>
      <c r="D70" s="16" t="s">
        <v>179</v>
      </c>
      <c r="E70" s="3" t="s">
        <v>161</v>
      </c>
      <c r="F70" s="3" t="s">
        <v>164</v>
      </c>
      <c r="G70" s="3" t="s">
        <v>123</v>
      </c>
      <c r="H70" s="3" t="s">
        <v>128</v>
      </c>
      <c r="L70" s="3" t="str">
        <f>_xlfn.CONCAT(Metadata!$B$1,"_Quarterly_USHU_NT")</f>
        <v>202503_Quarterly_USHU_NT</v>
      </c>
    </row>
    <row r="71" spans="1:12">
      <c r="A71" s="16" t="str">
        <f>_xlfn.CONCAT("RMS_EDM_",Metadata!$B$1,"_Quarterly_USHU")</f>
        <v>RMS_EDM_202503_Quarterly_USHU</v>
      </c>
      <c r="B71" s="16" t="s">
        <v>63</v>
      </c>
      <c r="C71" s="16" t="s">
        <v>218</v>
      </c>
      <c r="D71" s="16" t="s">
        <v>182</v>
      </c>
      <c r="E71" s="3" t="s">
        <v>161</v>
      </c>
      <c r="F71" s="3" t="s">
        <v>164</v>
      </c>
      <c r="L71" s="3" t="str">
        <f>_xlfn.CONCAT(Metadata!$B$1,"_Quarterly_USHU_NT")</f>
        <v>202503_Quarterly_USHU_NT</v>
      </c>
    </row>
    <row r="72" spans="1:12">
      <c r="A72" s="16" t="str">
        <f>_xlfn.CONCAT("RMS_EDM_",Metadata!$B$1,"_Quarterly_USHU")</f>
        <v>RMS_EDM_202503_Quarterly_USHU</v>
      </c>
      <c r="B72" s="16" t="s">
        <v>65</v>
      </c>
      <c r="C72" s="16" t="s">
        <v>219</v>
      </c>
      <c r="D72" s="16" t="s">
        <v>182</v>
      </c>
      <c r="E72" s="3" t="s">
        <v>161</v>
      </c>
      <c r="F72" s="3" t="s">
        <v>164</v>
      </c>
      <c r="L72" s="3" t="str">
        <f>_xlfn.CONCAT(Metadata!$B$1,"_Quarterly_USHU_NT")</f>
        <v>202503_Quarterly_USHU_NT</v>
      </c>
    </row>
    <row r="73" spans="1:12">
      <c r="A73" s="16" t="str">
        <f>_xlfn.CONCAT("RMS_EDM_",Metadata!$B$1,"_Quarterly_USHU")</f>
        <v>RMS_EDM_202503_Quarterly_USHU</v>
      </c>
      <c r="B73" s="16" t="s">
        <v>66</v>
      </c>
      <c r="C73" s="16" t="s">
        <v>220</v>
      </c>
      <c r="D73" s="16" t="s">
        <v>182</v>
      </c>
      <c r="E73" s="3" t="s">
        <v>161</v>
      </c>
      <c r="F73" s="3" t="s">
        <v>164</v>
      </c>
      <c r="G73" s="3" t="s">
        <v>123</v>
      </c>
      <c r="H73" s="3" t="s">
        <v>128</v>
      </c>
      <c r="L73" s="3" t="str">
        <f>_xlfn.CONCAT(Metadata!$B$1,"_Quarterly_USHU_NT")</f>
        <v>202503_Quarterly_USHU_NT</v>
      </c>
    </row>
    <row r="74" spans="1:12">
      <c r="A74" s="16" t="str">
        <f>_xlfn.CONCAT("RMS_EDM_",Metadata!$B$1,"_Quarterly_USHU")</f>
        <v>RMS_EDM_202503_Quarterly_USHU</v>
      </c>
      <c r="B74" s="16" t="s">
        <v>67</v>
      </c>
      <c r="C74" s="16" t="s">
        <v>221</v>
      </c>
      <c r="D74" s="16" t="s">
        <v>182</v>
      </c>
      <c r="E74" s="3" t="s">
        <v>161</v>
      </c>
      <c r="F74" s="3" t="s">
        <v>164</v>
      </c>
      <c r="G74" s="3" t="s">
        <v>123</v>
      </c>
      <c r="H74" s="3" t="s">
        <v>128</v>
      </c>
      <c r="L74" s="3" t="str">
        <f>_xlfn.CONCAT(Metadata!$B$1,"_Quarterly_USHU_NT")</f>
        <v>202503_Quarterly_USHU_NT</v>
      </c>
    </row>
    <row r="75" spans="1:12">
      <c r="A75" s="16" t="str">
        <f>_xlfn.CONCAT("RMS_EDM_",Metadata!$B$1,"_Quarterly_USHU")</f>
        <v>RMS_EDM_202503_Quarterly_USHU</v>
      </c>
      <c r="B75" s="16" t="s">
        <v>68</v>
      </c>
      <c r="C75" s="16" t="s">
        <v>222</v>
      </c>
      <c r="D75" s="16" t="s">
        <v>182</v>
      </c>
      <c r="E75" s="3" t="s">
        <v>161</v>
      </c>
      <c r="F75" s="3" t="s">
        <v>164</v>
      </c>
      <c r="G75" s="3" t="s">
        <v>123</v>
      </c>
      <c r="H75" s="3" t="s">
        <v>128</v>
      </c>
      <c r="L75" s="3" t="str">
        <f>_xlfn.CONCAT(Metadata!$B$1,"_Quarterly_USHU_NT")</f>
        <v>202503_Quarterly_USHU_NT</v>
      </c>
    </row>
    <row r="76" spans="1:12">
      <c r="A76" s="16" t="str">
        <f>_xlfn.CONCAT("RMS_EDM_",Metadata!$B$1,"_Quarterly_USHU")</f>
        <v>RMS_EDM_202503_Quarterly_USHU</v>
      </c>
      <c r="B76" s="16" t="s">
        <v>69</v>
      </c>
      <c r="C76" s="16" t="s">
        <v>223</v>
      </c>
      <c r="D76" s="16" t="s">
        <v>182</v>
      </c>
      <c r="E76" s="3" t="s">
        <v>161</v>
      </c>
      <c r="F76" s="3" t="s">
        <v>164</v>
      </c>
      <c r="G76" s="3" t="s">
        <v>123</v>
      </c>
      <c r="H76" s="3" t="s">
        <v>128</v>
      </c>
      <c r="L76" s="3" t="str">
        <f>_xlfn.CONCAT(Metadata!$B$1,"_Quarterly_USHU_NT")</f>
        <v>202503_Quarterly_USHU_NT</v>
      </c>
    </row>
    <row r="77" spans="1:12">
      <c r="A77" s="16" t="str">
        <f>_xlfn.CONCAT("RMS_EDM_",Metadata!$B$1,"_Quarterly_USHU")</f>
        <v>RMS_EDM_202503_Quarterly_USHU</v>
      </c>
      <c r="B77" s="16" t="s">
        <v>70</v>
      </c>
      <c r="C77" s="16" t="s">
        <v>224</v>
      </c>
      <c r="D77" s="16" t="s">
        <v>179</v>
      </c>
      <c r="E77" s="3" t="s">
        <v>161</v>
      </c>
      <c r="F77" s="3" t="s">
        <v>164</v>
      </c>
      <c r="L77" s="3" t="str">
        <f>_xlfn.CONCAT(Metadata!$B$1,"_Quarterly_USHU_NT")</f>
        <v>202503_Quarterly_USHU_NT</v>
      </c>
    </row>
    <row r="78" spans="1:12">
      <c r="A78" s="16" t="str">
        <f>_xlfn.CONCAT("RMS_EDM_",Metadata!$B$1,"_Quarterly_USHU")</f>
        <v>RMS_EDM_202503_Quarterly_USHU</v>
      </c>
      <c r="B78" s="16" t="s">
        <v>71</v>
      </c>
      <c r="C78" s="16" t="s">
        <v>225</v>
      </c>
      <c r="D78" s="16" t="s">
        <v>179</v>
      </c>
      <c r="E78" s="3" t="s">
        <v>161</v>
      </c>
      <c r="F78" s="3" t="s">
        <v>164</v>
      </c>
      <c r="L78" s="3" t="str">
        <f>_xlfn.CONCAT(Metadata!$B$1,"_Quarterly_USHU_NT")</f>
        <v>202503_Quarterly_USHU_NT</v>
      </c>
    </row>
    <row r="79" spans="1:12">
      <c r="A79" s="16" t="str">
        <f>_xlfn.CONCAT("RMS_EDM_",Metadata!$B$1,"_Quarterly_USHU")</f>
        <v>RMS_EDM_202503_Quarterly_USHU</v>
      </c>
      <c r="B79" s="16" t="s">
        <v>72</v>
      </c>
      <c r="C79" s="16" t="s">
        <v>226</v>
      </c>
      <c r="D79" s="16" t="s">
        <v>179</v>
      </c>
      <c r="E79" s="3" t="s">
        <v>161</v>
      </c>
      <c r="F79" s="3" t="s">
        <v>164</v>
      </c>
      <c r="G79" s="3" t="s">
        <v>123</v>
      </c>
      <c r="H79" s="3" t="s">
        <v>128</v>
      </c>
      <c r="L79" s="3" t="str">
        <f>_xlfn.CONCAT(Metadata!$B$1,"_Quarterly_USHU_NT")</f>
        <v>202503_Quarterly_USHU_NT</v>
      </c>
    </row>
    <row r="80" spans="1:12">
      <c r="A80" s="16" t="str">
        <f>_xlfn.CONCAT("RMS_EDM_",Metadata!$B$1,"_Quarterly_USHU")</f>
        <v>RMS_EDM_202503_Quarterly_USHU</v>
      </c>
      <c r="B80" s="16" t="s">
        <v>73</v>
      </c>
      <c r="C80" s="16" t="s">
        <v>227</v>
      </c>
      <c r="D80" s="16" t="s">
        <v>179</v>
      </c>
      <c r="E80" s="3" t="s">
        <v>161</v>
      </c>
      <c r="F80" s="3" t="s">
        <v>164</v>
      </c>
      <c r="G80" s="3" t="s">
        <v>123</v>
      </c>
      <c r="H80" s="3" t="s">
        <v>128</v>
      </c>
      <c r="L80" s="3" t="str">
        <f>_xlfn.CONCAT(Metadata!$B$1,"_Quarterly_USHU_NT")</f>
        <v>202503_Quarterly_USHU_NT</v>
      </c>
    </row>
    <row r="81" spans="1:12">
      <c r="A81" s="16" t="str">
        <f>_xlfn.CONCAT("RMS_EDM_",Metadata!$B$1,"_Quarterly_USHU")</f>
        <v>RMS_EDM_202503_Quarterly_USHU</v>
      </c>
      <c r="B81" s="16" t="s">
        <v>74</v>
      </c>
      <c r="C81" s="16" t="s">
        <v>228</v>
      </c>
      <c r="D81" s="16" t="s">
        <v>179</v>
      </c>
      <c r="E81" s="3" t="s">
        <v>161</v>
      </c>
      <c r="F81" s="3" t="s">
        <v>164</v>
      </c>
      <c r="G81" s="3" t="s">
        <v>123</v>
      </c>
      <c r="H81" s="3" t="s">
        <v>128</v>
      </c>
      <c r="L81" s="3" t="str">
        <f>_xlfn.CONCAT(Metadata!$B$1,"_Quarterly_USHU_NT")</f>
        <v>202503_Quarterly_USHU_NT</v>
      </c>
    </row>
    <row r="82" spans="1:12">
      <c r="A82" s="16" t="str">
        <f>_xlfn.CONCAT("RMS_EDM_",Metadata!$B$1,"_Quarterly_USHU")</f>
        <v>RMS_EDM_202503_Quarterly_USHU</v>
      </c>
      <c r="B82" s="16" t="s">
        <v>75</v>
      </c>
      <c r="C82" s="16" t="s">
        <v>229</v>
      </c>
      <c r="D82" s="16" t="s">
        <v>179</v>
      </c>
      <c r="E82" s="3" t="s">
        <v>161</v>
      </c>
      <c r="F82" s="3" t="s">
        <v>164</v>
      </c>
      <c r="G82" s="3" t="s">
        <v>123</v>
      </c>
      <c r="H82" s="3" t="s">
        <v>128</v>
      </c>
      <c r="L82" s="3" t="str">
        <f>_xlfn.CONCAT(Metadata!$B$1,"_Quarterly_USHU_NT")</f>
        <v>202503_Quarterly_USHU_NT</v>
      </c>
    </row>
    <row r="83" spans="1:12">
      <c r="A83" s="16" t="str">
        <f>_xlfn.CONCAT("RMS_EDM_",Metadata!$B$1,"_Quarterly_USHU")</f>
        <v>RMS_EDM_202503_Quarterly_USHU</v>
      </c>
      <c r="B83" s="16" t="s">
        <v>76</v>
      </c>
      <c r="C83" s="16" t="s">
        <v>230</v>
      </c>
      <c r="D83" s="16" t="s">
        <v>179</v>
      </c>
      <c r="E83" s="3" t="s">
        <v>161</v>
      </c>
      <c r="F83" s="3" t="s">
        <v>164</v>
      </c>
      <c r="G83" s="3" t="s">
        <v>123</v>
      </c>
      <c r="H83" s="3" t="s">
        <v>128</v>
      </c>
      <c r="L83" s="3" t="str">
        <f>_xlfn.CONCAT(Metadata!$B$1,"_Quarterly_USHU_NT")</f>
        <v>202503_Quarterly_USHU_NT</v>
      </c>
    </row>
    <row r="84" spans="1:12">
      <c r="A84" s="16" t="str">
        <f>_xlfn.CONCAT("RMS_EDM_",Metadata!$B$1,"_Quarterly_USHU")</f>
        <v>RMS_EDM_202503_Quarterly_USHU</v>
      </c>
      <c r="B84" s="16" t="s">
        <v>77</v>
      </c>
      <c r="C84" s="16" t="s">
        <v>231</v>
      </c>
      <c r="D84" s="16" t="s">
        <v>179</v>
      </c>
      <c r="E84" s="3" t="s">
        <v>161</v>
      </c>
      <c r="F84" s="3" t="s">
        <v>164</v>
      </c>
      <c r="G84" s="3" t="s">
        <v>123</v>
      </c>
      <c r="H84" s="3" t="s">
        <v>128</v>
      </c>
      <c r="L84" s="3" t="str">
        <f>_xlfn.CONCAT(Metadata!$B$1,"_Quarterly_USHU_NT")</f>
        <v>202503_Quarterly_USHU_NT</v>
      </c>
    </row>
    <row r="85" spans="1:12">
      <c r="A85" s="16" t="str">
        <f>_xlfn.CONCAT("RMS_EDM_",Metadata!$B$1,"_Quarterly_USST")</f>
        <v>RMS_EDM_202503_Quarterly_USST</v>
      </c>
      <c r="B85" s="16" t="s">
        <v>78</v>
      </c>
      <c r="C85" s="16" t="s">
        <v>232</v>
      </c>
      <c r="D85" s="16" t="s">
        <v>233</v>
      </c>
      <c r="E85" s="3" t="s">
        <v>161</v>
      </c>
      <c r="F85" s="3" t="s">
        <v>198</v>
      </c>
      <c r="L85" s="3" t="str">
        <f>_xlfn.CONCAT(Metadata!$B$1,"_Quarterly_USST")</f>
        <v>202503_Quarterly_USST</v>
      </c>
    </row>
    <row r="86" spans="1:12">
      <c r="A86" s="16" t="str">
        <f>_xlfn.CONCAT("RMS_EDM_",Metadata!$B$1,"_Quarterly_USST")</f>
        <v>RMS_EDM_202503_Quarterly_USST</v>
      </c>
      <c r="B86" s="16" t="s">
        <v>80</v>
      </c>
      <c r="C86" s="16" t="s">
        <v>234</v>
      </c>
      <c r="D86" s="16" t="s">
        <v>233</v>
      </c>
      <c r="E86" s="3" t="s">
        <v>161</v>
      </c>
      <c r="F86" s="3" t="s">
        <v>198</v>
      </c>
      <c r="L86" s="3" t="str">
        <f>_xlfn.CONCAT(Metadata!$B$1,"_Quarterly_USST")</f>
        <v>202503_Quarterly_USST</v>
      </c>
    </row>
    <row r="87" spans="1:12">
      <c r="A87" s="16" t="str">
        <f>_xlfn.CONCAT("RMS_EDM_",Metadata!$B$1,"_Quarterly_USST")</f>
        <v>RMS_EDM_202503_Quarterly_USST</v>
      </c>
      <c r="B87" s="16" t="s">
        <v>81</v>
      </c>
      <c r="C87" s="16" t="s">
        <v>235</v>
      </c>
      <c r="D87" s="16" t="s">
        <v>233</v>
      </c>
      <c r="E87" s="3" t="s">
        <v>161</v>
      </c>
      <c r="F87" s="3" t="s">
        <v>198</v>
      </c>
      <c r="G87" s="3" t="s">
        <v>123</v>
      </c>
      <c r="H87" s="3" t="s">
        <v>128</v>
      </c>
      <c r="L87" s="3" t="str">
        <f>_xlfn.CONCAT(Metadata!$B$1,"_Quarterly_USST")</f>
        <v>202503_Quarterly_USST</v>
      </c>
    </row>
    <row r="88" spans="1:12">
      <c r="A88" s="16" t="str">
        <f>_xlfn.CONCAT("RMS_EDM_",Metadata!$B$1,"_Quarterly_USST")</f>
        <v>RMS_EDM_202503_Quarterly_USST</v>
      </c>
      <c r="B88" s="16" t="s">
        <v>82</v>
      </c>
      <c r="C88" s="16" t="s">
        <v>236</v>
      </c>
      <c r="D88" s="16" t="s">
        <v>233</v>
      </c>
      <c r="E88" s="3" t="s">
        <v>161</v>
      </c>
      <c r="F88" s="3" t="s">
        <v>198</v>
      </c>
      <c r="G88" s="3" t="s">
        <v>123</v>
      </c>
      <c r="H88" s="3" t="s">
        <v>128</v>
      </c>
      <c r="L88" s="3" t="str">
        <f>_xlfn.CONCAT(Metadata!$B$1,"_Quarterly_USST")</f>
        <v>202503_Quarterly_USST</v>
      </c>
    </row>
    <row r="89" spans="1:12">
      <c r="A89" s="16" t="str">
        <f>_xlfn.CONCAT("RMS_EDM_",Metadata!$B$1,"_Quarterly_USST")</f>
        <v>RMS_EDM_202503_Quarterly_USST</v>
      </c>
      <c r="B89" s="16" t="s">
        <v>83</v>
      </c>
      <c r="C89" s="16" t="s">
        <v>237</v>
      </c>
      <c r="D89" s="16" t="s">
        <v>233</v>
      </c>
      <c r="E89" s="3" t="s">
        <v>161</v>
      </c>
      <c r="F89" s="3" t="s">
        <v>198</v>
      </c>
      <c r="G89" s="3" t="s">
        <v>123</v>
      </c>
      <c r="H89" s="3" t="s">
        <v>128</v>
      </c>
      <c r="L89" s="3" t="str">
        <f>_xlfn.CONCAT(Metadata!$B$1,"_Quarterly_USST")</f>
        <v>202503_Quarterly_USST</v>
      </c>
    </row>
    <row r="90" spans="1:12">
      <c r="A90" s="16" t="str">
        <f>_xlfn.CONCAT("RMS_EDM_",Metadata!$B$1,"_Quarterly_USST")</f>
        <v>RMS_EDM_202503_Quarterly_USST</v>
      </c>
      <c r="B90" s="16" t="s">
        <v>84</v>
      </c>
      <c r="C90" s="16" t="s">
        <v>238</v>
      </c>
      <c r="D90" s="16" t="s">
        <v>233</v>
      </c>
      <c r="E90" s="3" t="s">
        <v>161</v>
      </c>
      <c r="F90" s="3" t="s">
        <v>198</v>
      </c>
      <c r="G90" s="3" t="s">
        <v>123</v>
      </c>
      <c r="H90" s="3" t="s">
        <v>128</v>
      </c>
      <c r="L90" s="3" t="str">
        <f>_xlfn.CONCAT(Metadata!$B$1,"_Quarterly_USST")</f>
        <v>202503_Quarterly_USST</v>
      </c>
    </row>
    <row r="91" spans="1:12">
      <c r="A91" s="16" t="str">
        <f>_xlfn.CONCAT("RMS_EDM_",Metadata!$B$1,"_Quarterly_USST")</f>
        <v>RMS_EDM_202503_Quarterly_USST</v>
      </c>
      <c r="B91" s="16" t="s">
        <v>85</v>
      </c>
      <c r="C91" s="16" t="s">
        <v>239</v>
      </c>
      <c r="D91" s="16" t="s">
        <v>233</v>
      </c>
      <c r="E91" s="3" t="s">
        <v>161</v>
      </c>
      <c r="F91" s="3" t="s">
        <v>198</v>
      </c>
      <c r="G91" s="3" t="s">
        <v>123</v>
      </c>
      <c r="H91" s="3" t="s">
        <v>128</v>
      </c>
      <c r="L91" s="3" t="str">
        <f>_xlfn.CONCAT(Metadata!$B$1,"_Quarterly_USST")</f>
        <v>202503_Quarterly_USST</v>
      </c>
    </row>
    <row r="92" spans="1:12">
      <c r="A92" s="16" t="str">
        <f>_xlfn.CONCAT("RMS_EDM_",Metadata!$B$1,"_Quarterly_USST")</f>
        <v>RMS_EDM_202503_Quarterly_USST</v>
      </c>
      <c r="B92" s="16" t="s">
        <v>86</v>
      </c>
      <c r="C92" s="16" t="s">
        <v>240</v>
      </c>
      <c r="D92" s="16" t="s">
        <v>233</v>
      </c>
      <c r="E92" s="3" t="s">
        <v>161</v>
      </c>
      <c r="F92" s="3" t="s">
        <v>198</v>
      </c>
      <c r="G92" s="3" t="s">
        <v>129</v>
      </c>
      <c r="L92" s="3" t="str">
        <f>_xlfn.CONCAT(Metadata!$B$1,"_Quarterly_USST")</f>
        <v>202503_Quarterly_USST</v>
      </c>
    </row>
    <row r="93" spans="1:12">
      <c r="A93" s="16" t="str">
        <f>_xlfn.CONCAT("RMS_EDM_",Metadata!$B$1,"_Quarterly_USST")</f>
        <v>RMS_EDM_202503_Quarterly_USST</v>
      </c>
      <c r="B93" s="16" t="s">
        <v>87</v>
      </c>
      <c r="C93" s="16" t="s">
        <v>241</v>
      </c>
      <c r="D93" s="16" t="s">
        <v>233</v>
      </c>
      <c r="E93" s="3" t="s">
        <v>161</v>
      </c>
      <c r="F93" s="3" t="s">
        <v>198</v>
      </c>
      <c r="G93" s="3" t="s">
        <v>123</v>
      </c>
      <c r="H93" s="3" t="s">
        <v>128</v>
      </c>
      <c r="L93" s="3" t="str">
        <f>_xlfn.CONCAT(Metadata!$B$1,"_Quarterly_USST")</f>
        <v>202503_Quarterly_USST</v>
      </c>
    </row>
    <row r="94" spans="1:12">
      <c r="A94" s="16" t="str">
        <f>_xlfn.CONCAT("RMS_EDM_",Metadata!$B$1,"_Quarterly_USST")</f>
        <v>RMS_EDM_202503_Quarterly_USST</v>
      </c>
      <c r="B94" s="16" t="s">
        <v>88</v>
      </c>
      <c r="C94" s="16" t="s">
        <v>242</v>
      </c>
      <c r="D94" s="16" t="s">
        <v>233</v>
      </c>
      <c r="E94" s="3" t="s">
        <v>161</v>
      </c>
      <c r="F94" s="3" t="s">
        <v>198</v>
      </c>
      <c r="G94" s="3" t="s">
        <v>123</v>
      </c>
      <c r="H94" s="3" t="s">
        <v>128</v>
      </c>
      <c r="L94" s="3" t="str">
        <f>_xlfn.CONCAT(Metadata!$B$1,"_Quarterly_USST")</f>
        <v>202503_Quarterly_USST</v>
      </c>
    </row>
    <row r="95" spans="1:12">
      <c r="C95" s="3" t="str">
        <f>IF(B95&lt;&gt;"", _xlfn.CONCAT(B95, "_", Metadata!$B$1), "")</f>
        <v/>
      </c>
    </row>
    <row r="96" spans="1:12">
      <c r="C96" s="3" t="str">
        <f>IF(B96&lt;&gt;"", _xlfn.CONCAT(B96, "_", Metadata!$B$1), "")</f>
        <v/>
      </c>
    </row>
    <row r="97" spans="3:3">
      <c r="C97" s="3" t="str">
        <f>IF(B97&lt;&gt;"", _xlfn.CONCAT(B97, "_", Metadata!$B$1), "")</f>
        <v/>
      </c>
    </row>
    <row r="98" spans="3:3">
      <c r="C98" s="3" t="str">
        <f>IF(B98&lt;&gt;"", _xlfn.CONCAT(B98, "_", Metadata!$B$1), "")</f>
        <v/>
      </c>
    </row>
    <row r="99" spans="3:3">
      <c r="C99" s="3" t="str">
        <f>IF(B99&lt;&gt;"", _xlfn.CONCAT(B99, "_", Metadata!$B$1), "")</f>
        <v/>
      </c>
    </row>
    <row r="100" spans="3:3">
      <c r="C100" s="3" t="str">
        <f>IF(B100&lt;&gt;"", _xlfn.CONCAT(B100, "_", Metadata!$B$1), "")</f>
        <v/>
      </c>
    </row>
    <row r="101" spans="3:3">
      <c r="C101" s="3" t="str">
        <f>IF(B101&lt;&gt;"", _xlfn.CONCAT(B101, "_", Metadata!$B$1), "")</f>
        <v/>
      </c>
    </row>
    <row r="102" spans="3:3">
      <c r="C102" s="3" t="str">
        <f>IF(B102&lt;&gt;"", _xlfn.CONCAT(B102, "_", Metadata!$B$1), "")</f>
        <v/>
      </c>
    </row>
    <row r="103" spans="3:3">
      <c r="C103" s="3" t="str">
        <f>IF(B103&lt;&gt;"", _xlfn.CONCAT(B103, "_", Metadata!$B$1), "")</f>
        <v/>
      </c>
    </row>
    <row r="104" spans="3:3">
      <c r="C104" s="3" t="str">
        <f>IF(B104&lt;&gt;"", _xlfn.CONCAT(B104, "_", Metadata!$B$1), "")</f>
        <v/>
      </c>
    </row>
    <row r="105" spans="3:3">
      <c r="C105" s="3" t="str">
        <f>IF(B105&lt;&gt;"", _xlfn.CONCAT(B105, "_", Metadata!$B$1), "")</f>
        <v/>
      </c>
    </row>
    <row r="106" spans="3:3">
      <c r="C106" s="3" t="str">
        <f>IF(B106&lt;&gt;"", _xlfn.CONCAT(B106, "_", Metadata!$B$1), "")</f>
        <v/>
      </c>
    </row>
    <row r="107" spans="3:3">
      <c r="C107" s="3" t="str">
        <f>IF(B107&lt;&gt;"", _xlfn.CONCAT(B107, "_", Metadata!$B$1), "")</f>
        <v/>
      </c>
    </row>
    <row r="108" spans="3:3">
      <c r="C108" s="3" t="str">
        <f>IF(B108&lt;&gt;"", _xlfn.CONCAT(B108, "_", Metadata!$B$1), "")</f>
        <v/>
      </c>
    </row>
    <row r="109" spans="3:3">
      <c r="C109" s="3" t="str">
        <f>IF(B109&lt;&gt;"", _xlfn.CONCAT(B109, "_", Metadata!$B$1), "")</f>
        <v/>
      </c>
    </row>
    <row r="110" spans="3:3">
      <c r="C110" s="3" t="str">
        <f>IF(B110&lt;&gt;"", _xlfn.CONCAT(B110, "_", Metadata!$B$1), "")</f>
        <v/>
      </c>
    </row>
    <row r="111" spans="3:3">
      <c r="C111" s="3" t="str">
        <f>IF(B111&lt;&gt;"", _xlfn.CONCAT(B111, "_", Metadata!$B$1), "")</f>
        <v/>
      </c>
    </row>
    <row r="112" spans="3:3">
      <c r="C112" s="3" t="str">
        <f>IF(B112&lt;&gt;"", _xlfn.CONCAT(B112, "_", Metadata!$B$1), "")</f>
        <v/>
      </c>
    </row>
    <row r="113" spans="3:3">
      <c r="C113" s="3" t="str">
        <f>IF(B113&lt;&gt;"", _xlfn.CONCAT(B113, "_", Metadata!$B$1), "")</f>
        <v/>
      </c>
    </row>
    <row r="114" spans="3:3">
      <c r="C114" s="3" t="str">
        <f>IF(B114&lt;&gt;"", _xlfn.CONCAT(B114, "_", Metadata!$B$1), "")</f>
        <v/>
      </c>
    </row>
    <row r="115" spans="3:3">
      <c r="C115" s="3" t="str">
        <f>IF(B115&lt;&gt;"", _xlfn.CONCAT(B115, "_", Metadata!$B$1), "")</f>
        <v/>
      </c>
    </row>
    <row r="116" spans="3:3">
      <c r="C116" s="3" t="str">
        <f>IF(B116&lt;&gt;"", _xlfn.CONCAT(B116, "_", Metadata!$B$1), "")</f>
        <v/>
      </c>
    </row>
    <row r="117" spans="3:3">
      <c r="C117" s="3" t="str">
        <f>IF(B117&lt;&gt;"", _xlfn.CONCAT(B117, "_", Metadata!$B$1), "")</f>
        <v/>
      </c>
    </row>
    <row r="118" spans="3:3">
      <c r="C118" s="3" t="str">
        <f>IF(B118&lt;&gt;"", _xlfn.CONCAT(B118, "_", Metadata!$B$1), "")</f>
        <v/>
      </c>
    </row>
    <row r="119" spans="3:3">
      <c r="C119" s="3" t="str">
        <f>IF(B119&lt;&gt;"", _xlfn.CONCAT(B119, "_", Metadata!$B$1), "")</f>
        <v/>
      </c>
    </row>
    <row r="120" spans="3:3">
      <c r="C120" s="3" t="str">
        <f>IF(B120&lt;&gt;"", _xlfn.CONCAT(B120, "_", Metadata!$B$1), "")</f>
        <v/>
      </c>
    </row>
    <row r="121" spans="3:3">
      <c r="C121" s="3" t="str">
        <f>IF(B121&lt;&gt;"", _xlfn.CONCAT(B121, "_", Metadata!$B$1), "")</f>
        <v/>
      </c>
    </row>
    <row r="122" spans="3:3">
      <c r="C122" s="3" t="str">
        <f>IF(B122&lt;&gt;"", _xlfn.CONCAT(B122, "_", Metadata!$B$1), "")</f>
        <v/>
      </c>
    </row>
    <row r="123" spans="3:3">
      <c r="C123" s="3" t="str">
        <f>IF(B123&lt;&gt;"", _xlfn.CONCAT(B123, "_", Metadata!$B$1), "")</f>
        <v/>
      </c>
    </row>
    <row r="124" spans="3:3">
      <c r="C124" s="3" t="str">
        <f>IF(B124&lt;&gt;"", _xlfn.CONCAT(B124, "_", Metadata!$B$1), "")</f>
        <v/>
      </c>
    </row>
    <row r="125" spans="3:3">
      <c r="C125" s="3" t="str">
        <f>IF(B125&lt;&gt;"", _xlfn.CONCAT(B125, "_", Metadata!$B$1), "")</f>
        <v/>
      </c>
    </row>
    <row r="126" spans="3:3">
      <c r="C126" s="3" t="str">
        <f>IF(B126&lt;&gt;"", _xlfn.CONCAT(B126, "_", Metadata!$B$1), "")</f>
        <v/>
      </c>
    </row>
    <row r="127" spans="3:3">
      <c r="C127" s="3" t="str">
        <f>IF(B127&lt;&gt;"", _xlfn.CONCAT(B127, "_", Metadata!$B$1), "")</f>
        <v/>
      </c>
    </row>
    <row r="128" spans="3:3">
      <c r="C128" s="3" t="str">
        <f>IF(B128&lt;&gt;"", _xlfn.CONCAT(B128, "_", Metadata!$B$1), "")</f>
        <v/>
      </c>
    </row>
    <row r="129" spans="3:3">
      <c r="C129" s="3" t="str">
        <f>IF(B129&lt;&gt;"", _xlfn.CONCAT(B129, "_", Metadata!$B$1), "")</f>
        <v/>
      </c>
    </row>
    <row r="130" spans="3:3">
      <c r="C130" s="3" t="str">
        <f>IF(B130&lt;&gt;"", _xlfn.CONCAT(B130, "_", Metadata!$B$1), "")</f>
        <v/>
      </c>
    </row>
    <row r="131" spans="3:3">
      <c r="C131" s="3" t="str">
        <f>IF(B131&lt;&gt;"", _xlfn.CONCAT(B131, "_", Metadata!$B$1), "")</f>
        <v/>
      </c>
    </row>
    <row r="132" spans="3:3">
      <c r="C132" s="3" t="str">
        <f>IF(B132&lt;&gt;"", _xlfn.CONCAT(B132, "_", Metadata!$B$1), "")</f>
        <v/>
      </c>
    </row>
    <row r="133" spans="3:3">
      <c r="C133" s="3" t="str">
        <f>IF(B133&lt;&gt;"", _xlfn.CONCAT(B133, "_", Metadata!$B$1), "")</f>
        <v/>
      </c>
    </row>
    <row r="134" spans="3:3">
      <c r="C134" s="3" t="str">
        <f>IF(B134&lt;&gt;"", _xlfn.CONCAT(B134, "_", Metadata!$B$1), "")</f>
        <v/>
      </c>
    </row>
    <row r="135" spans="3:3">
      <c r="C135" s="3" t="str">
        <f>IF(B135&lt;&gt;"", _xlfn.CONCAT(B135, "_", Metadata!$B$1), "")</f>
        <v/>
      </c>
    </row>
    <row r="136" spans="3:3">
      <c r="C136" s="3" t="str">
        <f>IF(B136&lt;&gt;"", _xlfn.CONCAT(B136, "_", Metadata!$B$1), "")</f>
        <v/>
      </c>
    </row>
    <row r="137" spans="3:3">
      <c r="C137" s="3" t="str">
        <f>IF(B137&lt;&gt;"", _xlfn.CONCAT(B137, "_", Metadata!$B$1), "")</f>
        <v/>
      </c>
    </row>
    <row r="138" spans="3:3">
      <c r="C138" s="3" t="str">
        <f>IF(B138&lt;&gt;"", _xlfn.CONCAT(B138, "_", Metadata!$B$1), "")</f>
        <v/>
      </c>
    </row>
    <row r="139" spans="3:3">
      <c r="C139" s="3" t="str">
        <f>IF(B139&lt;&gt;"", _xlfn.CONCAT(B139, "_", Metadata!$B$1), "")</f>
        <v/>
      </c>
    </row>
    <row r="140" spans="3:3">
      <c r="C140" s="3" t="str">
        <f>IF(B140&lt;&gt;"", _xlfn.CONCAT(B140, "_", Metadata!$B$1), "")</f>
        <v/>
      </c>
    </row>
    <row r="141" spans="3:3">
      <c r="C141" s="3" t="str">
        <f>IF(B141&lt;&gt;"", _xlfn.CONCAT(B141, "_", Metadata!$B$1), "")</f>
        <v/>
      </c>
    </row>
    <row r="142" spans="3:3">
      <c r="C142" s="3" t="str">
        <f>IF(B142&lt;&gt;"", _xlfn.CONCAT(B142, "_", Metadata!$B$1), "")</f>
        <v/>
      </c>
    </row>
    <row r="143" spans="3:3">
      <c r="C143" s="3" t="str">
        <f>IF(B143&lt;&gt;"", _xlfn.CONCAT(B143, "_", Metadata!$B$1), "")</f>
        <v/>
      </c>
    </row>
    <row r="144" spans="3:3">
      <c r="C144" s="3" t="str">
        <f>IF(B144&lt;&gt;"", _xlfn.CONCAT(B144, "_", Metadata!$B$1), "")</f>
        <v/>
      </c>
    </row>
    <row r="145" spans="3:3">
      <c r="C145" s="3" t="str">
        <f>IF(B145&lt;&gt;"", _xlfn.CONCAT(B145, "_", Metadata!$B$1), "")</f>
        <v/>
      </c>
    </row>
    <row r="146" spans="3:3">
      <c r="C146" s="3" t="str">
        <f>IF(B146&lt;&gt;"", _xlfn.CONCAT(B146, "_", Metadata!$B$1), "")</f>
        <v/>
      </c>
    </row>
    <row r="147" spans="3:3">
      <c r="C147" s="3" t="str">
        <f>IF(B147&lt;&gt;"", _xlfn.CONCAT(B147, "_", Metadata!$B$1), "")</f>
        <v/>
      </c>
    </row>
    <row r="148" spans="3:3">
      <c r="C148" s="3" t="str">
        <f>IF(B148&lt;&gt;"", _xlfn.CONCAT(B148, "_", Metadata!$B$1), "")</f>
        <v/>
      </c>
    </row>
    <row r="149" spans="3:3">
      <c r="C149" s="3" t="str">
        <f>IF(B149&lt;&gt;"", _xlfn.CONCAT(B149, "_", Metadata!$B$1), "")</f>
        <v/>
      </c>
    </row>
    <row r="150" spans="3:3">
      <c r="C150" s="3" t="str">
        <f>IF(B150&lt;&gt;"", _xlfn.CONCAT(B150, "_", Metadata!$B$1), "")</f>
        <v/>
      </c>
    </row>
    <row r="151" spans="3:3">
      <c r="C151" s="3" t="str">
        <f>IF(B151&lt;&gt;"", _xlfn.CONCAT(B151, "_", Metadata!$B$1), "")</f>
        <v/>
      </c>
    </row>
    <row r="152" spans="3:3">
      <c r="C152" s="3" t="str">
        <f>IF(B152&lt;&gt;"", _xlfn.CONCAT(B152, "_", Metadata!$B$1), "")</f>
        <v/>
      </c>
    </row>
    <row r="153" spans="3:3">
      <c r="C153" s="3" t="str">
        <f>IF(B153&lt;&gt;"", _xlfn.CONCAT(B153, "_", Metadata!$B$1), "")</f>
        <v/>
      </c>
    </row>
    <row r="154" spans="3:3">
      <c r="C154" s="3" t="str">
        <f>IF(B154&lt;&gt;"", _xlfn.CONCAT(B154, "_", Metadata!$B$1), "")</f>
        <v/>
      </c>
    </row>
    <row r="155" spans="3:3">
      <c r="C155" s="3" t="str">
        <f>IF(B155&lt;&gt;"", _xlfn.CONCAT(B155, "_", Metadata!$B$1), "")</f>
        <v/>
      </c>
    </row>
    <row r="156" spans="3:3">
      <c r="C156" s="3" t="str">
        <f>IF(B156&lt;&gt;"", _xlfn.CONCAT(B156, "_", Metadata!$B$1), "")</f>
        <v/>
      </c>
    </row>
    <row r="157" spans="3:3">
      <c r="C157" s="3" t="str">
        <f>IF(B157&lt;&gt;"", _xlfn.CONCAT(B157, "_", Metadata!$B$1), "")</f>
        <v/>
      </c>
    </row>
    <row r="158" spans="3:3">
      <c r="C158" s="3" t="str">
        <f>IF(B158&lt;&gt;"", _xlfn.CONCAT(B158, "_", Metadata!$B$1), "")</f>
        <v/>
      </c>
    </row>
    <row r="159" spans="3:3">
      <c r="C159" s="3" t="str">
        <f>IF(B159&lt;&gt;"", _xlfn.CONCAT(B159, "_", Metadata!$B$1), "")</f>
        <v/>
      </c>
    </row>
    <row r="160" spans="3:3">
      <c r="C160" s="3" t="str">
        <f>IF(B160&lt;&gt;"", _xlfn.CONCAT(B160, "_", Metadata!$B$1), "")</f>
        <v/>
      </c>
    </row>
    <row r="161" spans="3:3">
      <c r="C161" s="3" t="str">
        <f>IF(B161&lt;&gt;"", _xlfn.CONCAT(B161, "_", Metadata!$B$1), "")</f>
        <v/>
      </c>
    </row>
    <row r="162" spans="3:3">
      <c r="C162" s="3" t="str">
        <f>IF(B162&lt;&gt;"", _xlfn.CONCAT(B162, "_", Metadata!$B$1), "")</f>
        <v/>
      </c>
    </row>
    <row r="163" spans="3:3">
      <c r="C163" s="3" t="str">
        <f>IF(B163&lt;&gt;"", _xlfn.CONCAT(B163, "_", Metadata!$B$1), "")</f>
        <v/>
      </c>
    </row>
    <row r="164" spans="3:3">
      <c r="C164" s="3" t="str">
        <f>IF(B164&lt;&gt;"", _xlfn.CONCAT(B164, "_", Metadata!$B$1), "")</f>
        <v/>
      </c>
    </row>
    <row r="165" spans="3:3">
      <c r="C165" s="3" t="str">
        <f>IF(B165&lt;&gt;"", _xlfn.CONCAT(B165, "_", Metadata!$B$1), "")</f>
        <v/>
      </c>
    </row>
    <row r="166" spans="3:3">
      <c r="C166" s="3" t="str">
        <f>IF(B166&lt;&gt;"", _xlfn.CONCAT(B166, "_", Metadata!$B$1), "")</f>
        <v/>
      </c>
    </row>
    <row r="167" spans="3:3">
      <c r="C167" s="3" t="str">
        <f>IF(B167&lt;&gt;"", _xlfn.CONCAT(B167, "_", Metadata!$B$1), "")</f>
        <v/>
      </c>
    </row>
    <row r="168" spans="3:3">
      <c r="C168" s="3" t="str">
        <f>IF(B168&lt;&gt;"", _xlfn.CONCAT(B168, "_", Metadata!$B$1), "")</f>
        <v/>
      </c>
    </row>
    <row r="169" spans="3:3">
      <c r="C169" s="3" t="str">
        <f>IF(B169&lt;&gt;"", _xlfn.CONCAT(B169, "_", Metadata!$B$1), "")</f>
        <v/>
      </c>
    </row>
    <row r="170" spans="3:3">
      <c r="C170" s="3" t="str">
        <f>IF(B170&lt;&gt;"", _xlfn.CONCAT(B170, "_", Metadata!$B$1), "")</f>
        <v/>
      </c>
    </row>
    <row r="171" spans="3:3">
      <c r="C171" s="3" t="str">
        <f>IF(B171&lt;&gt;"", _xlfn.CONCAT(B171, "_", Metadata!$B$1), "")</f>
        <v/>
      </c>
    </row>
    <row r="172" spans="3:3">
      <c r="C172" s="3" t="str">
        <f>IF(B172&lt;&gt;"", _xlfn.CONCAT(B172, "_", Metadata!$B$1), "")</f>
        <v/>
      </c>
    </row>
    <row r="173" spans="3:3">
      <c r="C173" s="3" t="str">
        <f>IF(B173&lt;&gt;"", _xlfn.CONCAT(B173, "_", Metadata!$B$1), "")</f>
        <v/>
      </c>
    </row>
    <row r="174" spans="3:3">
      <c r="C174" s="3" t="str">
        <f>IF(B174&lt;&gt;"", _xlfn.CONCAT(B174, "_", Metadata!$B$1), "")</f>
        <v/>
      </c>
    </row>
    <row r="175" spans="3:3">
      <c r="C175" s="3" t="str">
        <f>IF(B175&lt;&gt;"", _xlfn.CONCAT(B175, "_", Metadata!$B$1), "")</f>
        <v/>
      </c>
    </row>
    <row r="176" spans="3:3">
      <c r="C176" s="3" t="str">
        <f>IF(B176&lt;&gt;"", _xlfn.CONCAT(B176, "_", Metadata!$B$1), "")</f>
        <v/>
      </c>
    </row>
    <row r="177" spans="3:3">
      <c r="C177" s="3" t="str">
        <f>IF(B177&lt;&gt;"", _xlfn.CONCAT(B177, "_", Metadata!$B$1), "")</f>
        <v/>
      </c>
    </row>
    <row r="178" spans="3:3">
      <c r="C178" s="3" t="str">
        <f>IF(B178&lt;&gt;"", _xlfn.CONCAT(B178, "_", Metadata!$B$1), "")</f>
        <v/>
      </c>
    </row>
    <row r="179" spans="3:3">
      <c r="C179" s="3" t="str">
        <f>IF(B179&lt;&gt;"", _xlfn.CONCAT(B179, "_", Metadata!$B$1), "")</f>
        <v/>
      </c>
    </row>
    <row r="180" spans="3:3">
      <c r="C180" s="3" t="str">
        <f>IF(B180&lt;&gt;"", _xlfn.CONCAT(B180, "_", Metadata!$B$1), "")</f>
        <v/>
      </c>
    </row>
    <row r="181" spans="3:3">
      <c r="C181" s="3" t="str">
        <f>IF(B181&lt;&gt;"", _xlfn.CONCAT(B181, "_", Metadata!$B$1), "")</f>
        <v/>
      </c>
    </row>
    <row r="182" spans="3:3">
      <c r="C182" s="3" t="str">
        <f>IF(B182&lt;&gt;"", _xlfn.CONCAT(B182, "_", Metadata!$B$1), "")</f>
        <v/>
      </c>
    </row>
    <row r="183" spans="3:3">
      <c r="C183" s="3" t="str">
        <f>IF(B183&lt;&gt;"", _xlfn.CONCAT(B183, "_", Metadata!$B$1), "")</f>
        <v/>
      </c>
    </row>
    <row r="184" spans="3:3">
      <c r="C184" s="3" t="str">
        <f>IF(B184&lt;&gt;"", _xlfn.CONCAT(B184, "_", Metadata!$B$1), "")</f>
        <v/>
      </c>
    </row>
    <row r="185" spans="3:3">
      <c r="C185" s="3" t="str">
        <f>IF(B185&lt;&gt;"", _xlfn.CONCAT(B185, "_", Metadata!$B$1), "")</f>
        <v/>
      </c>
    </row>
    <row r="186" spans="3:3">
      <c r="C186" s="3" t="str">
        <f>IF(B186&lt;&gt;"", _xlfn.CONCAT(B186, "_", Metadata!$B$1), "")</f>
        <v/>
      </c>
    </row>
    <row r="187" spans="3:3">
      <c r="C187" s="3" t="str">
        <f>IF(B187&lt;&gt;"", _xlfn.CONCAT(B187, "_", Metadata!$B$1), "")</f>
        <v/>
      </c>
    </row>
    <row r="188" spans="3:3">
      <c r="C188" s="3" t="str">
        <f>IF(B188&lt;&gt;"", _xlfn.CONCAT(B188, "_", Metadata!$B$1), "")</f>
        <v/>
      </c>
    </row>
    <row r="189" spans="3:3">
      <c r="C189" s="3" t="str">
        <f>IF(B189&lt;&gt;"", _xlfn.CONCAT(B189, "_", Metadata!$B$1), "")</f>
        <v/>
      </c>
    </row>
    <row r="190" spans="3:3">
      <c r="C190" s="3" t="str">
        <f>IF(B190&lt;&gt;"", _xlfn.CONCAT(B190, "_", Metadata!$B$1), "")</f>
        <v/>
      </c>
    </row>
    <row r="191" spans="3:3">
      <c r="C191" s="3" t="str">
        <f>IF(B191&lt;&gt;"", _xlfn.CONCAT(B191, "_", Metadata!$B$1), "")</f>
        <v/>
      </c>
    </row>
    <row r="192" spans="3:3">
      <c r="C192" s="3" t="str">
        <f>IF(B192&lt;&gt;"", _xlfn.CONCAT(B192, "_", Metadata!$B$1), "")</f>
        <v/>
      </c>
    </row>
    <row r="193" spans="3:3">
      <c r="C193" s="3" t="str">
        <f>IF(B193&lt;&gt;"", _xlfn.CONCAT(B193, "_", Metadata!$B$1), "")</f>
        <v/>
      </c>
    </row>
    <row r="194" spans="3:3">
      <c r="C194" s="3" t="str">
        <f>IF(B194&lt;&gt;"", _xlfn.CONCAT(B194, "_", Metadata!$B$1), "")</f>
        <v/>
      </c>
    </row>
    <row r="195" spans="3:3">
      <c r="C195" s="3" t="str">
        <f>IF(B195&lt;&gt;"", _xlfn.CONCAT(B195, "_", Metadata!$B$1), "")</f>
        <v/>
      </c>
    </row>
    <row r="196" spans="3:3">
      <c r="C196" s="3" t="str">
        <f>IF(B196&lt;&gt;"", _xlfn.CONCAT(B196, "_", Metadata!$B$1), "")</f>
        <v/>
      </c>
    </row>
    <row r="197" spans="3:3">
      <c r="C197" s="3" t="str">
        <f>IF(B197&lt;&gt;"", _xlfn.CONCAT(B197, "_", Metadata!$B$1), "")</f>
        <v/>
      </c>
    </row>
    <row r="198" spans="3:3">
      <c r="C198" s="3" t="str">
        <f>IF(B198&lt;&gt;"", _xlfn.CONCAT(B198, "_", Metadata!$B$1), "")</f>
        <v/>
      </c>
    </row>
    <row r="199" spans="3:3">
      <c r="C199" s="3" t="str">
        <f>IF(B199&lt;&gt;"", _xlfn.CONCAT(B199, "_", Metadata!$B$1), "")</f>
        <v/>
      </c>
    </row>
    <row r="200" spans="3:3">
      <c r="C200" s="3" t="str">
        <f>IF(B200&lt;&gt;"", _xlfn.CONCAT(B200, "_", Metadata!$B$1), "")</f>
        <v/>
      </c>
    </row>
    <row r="201" spans="3:3">
      <c r="C201" s="3" t="str">
        <f>IF(B201&lt;&gt;"", _xlfn.CONCAT(B201, "_", Metadata!$B$1), "")</f>
        <v/>
      </c>
    </row>
    <row r="202" spans="3:3">
      <c r="C202" s="3" t="str">
        <f>IF(B202&lt;&gt;"", _xlfn.CONCAT(B202, "_", Metadata!$B$1), "")</f>
        <v/>
      </c>
    </row>
    <row r="203" spans="3:3">
      <c r="C203" s="3" t="str">
        <f>IF(B203&lt;&gt;"", _xlfn.CONCAT(B203, "_", Metadata!$B$1), "")</f>
        <v/>
      </c>
    </row>
    <row r="204" spans="3:3">
      <c r="C204" s="3" t="str">
        <f>IF(B204&lt;&gt;"", _xlfn.CONCAT(B204, "_", Metadata!$B$1), "")</f>
        <v/>
      </c>
    </row>
    <row r="205" spans="3:3">
      <c r="C205" s="3" t="str">
        <f>IF(B205&lt;&gt;"", _xlfn.CONCAT(B205, "_", Metadata!$B$1), "")</f>
        <v/>
      </c>
    </row>
    <row r="206" spans="3:3">
      <c r="C206" s="3" t="str">
        <f>IF(B206&lt;&gt;"", _xlfn.CONCAT(B206, "_", Metadata!$B$1), "")</f>
        <v/>
      </c>
    </row>
    <row r="207" spans="3:3">
      <c r="C207" s="3" t="str">
        <f>IF(B207&lt;&gt;"", _xlfn.CONCAT(B207, "_", Metadata!$B$1), "")</f>
        <v/>
      </c>
    </row>
    <row r="208" spans="3:3">
      <c r="C208" s="3" t="str">
        <f>IF(B208&lt;&gt;"", _xlfn.CONCAT(B208, "_", Metadata!$B$1), "")</f>
        <v/>
      </c>
    </row>
    <row r="209" spans="3:3">
      <c r="C209" s="3" t="str">
        <f>IF(B209&lt;&gt;"", _xlfn.CONCAT(B209, "_", Metadata!$B$1), "")</f>
        <v/>
      </c>
    </row>
    <row r="210" spans="3:3">
      <c r="C210" s="3" t="str">
        <f>IF(B210&lt;&gt;"", _xlfn.CONCAT(B210, "_", Metadata!$B$1), "")</f>
        <v/>
      </c>
    </row>
    <row r="211" spans="3:3">
      <c r="C211" s="3" t="str">
        <f>IF(B211&lt;&gt;"", _xlfn.CONCAT(B211, "_", Metadata!$B$1), "")</f>
        <v/>
      </c>
    </row>
    <row r="212" spans="3:3">
      <c r="C212" s="3" t="str">
        <f>IF(B212&lt;&gt;"", _xlfn.CONCAT(B212, "_", Metadata!$B$1), "")</f>
        <v/>
      </c>
    </row>
    <row r="213" spans="3:3">
      <c r="C213" s="3" t="str">
        <f>IF(B213&lt;&gt;"", _xlfn.CONCAT(B213, "_", Metadata!$B$1), "")</f>
        <v/>
      </c>
    </row>
    <row r="214" spans="3:3">
      <c r="C214" s="3" t="str">
        <f>IF(B214&lt;&gt;"", _xlfn.CONCAT(B214, "_", Metadata!$B$1), "")</f>
        <v/>
      </c>
    </row>
    <row r="215" spans="3:3">
      <c r="C215" s="3" t="str">
        <f>IF(B215&lt;&gt;"", _xlfn.CONCAT(B215, "_", Metadata!$B$1), "")</f>
        <v/>
      </c>
    </row>
    <row r="216" spans="3:3">
      <c r="C216" s="3" t="str">
        <f>IF(B216&lt;&gt;"", _xlfn.CONCAT(B216, "_", Metadata!$B$1), "")</f>
        <v/>
      </c>
    </row>
    <row r="217" spans="3:3">
      <c r="C217" s="3" t="str">
        <f>IF(B217&lt;&gt;"", _xlfn.CONCAT(B217, "_", Metadata!$B$1), "")</f>
        <v/>
      </c>
    </row>
    <row r="218" spans="3:3">
      <c r="C218" s="3" t="str">
        <f>IF(B218&lt;&gt;"", _xlfn.CONCAT(B218, "_", Metadata!$B$1), "")</f>
        <v/>
      </c>
    </row>
    <row r="219" spans="3:3">
      <c r="C219" s="3" t="str">
        <f>IF(B219&lt;&gt;"", _xlfn.CONCAT(B219, "_", Metadata!$B$1), "")</f>
        <v/>
      </c>
    </row>
    <row r="220" spans="3:3">
      <c r="C220" s="3" t="str">
        <f>IF(B220&lt;&gt;"", _xlfn.CONCAT(B220, "_", Metadata!$B$1), "")</f>
        <v/>
      </c>
    </row>
    <row r="221" spans="3:3">
      <c r="C221" s="3" t="str">
        <f>IF(B221&lt;&gt;"", _xlfn.CONCAT(B221, "_", Metadata!$B$1), "")</f>
        <v/>
      </c>
    </row>
    <row r="222" spans="3:3">
      <c r="C222" s="3" t="str">
        <f>IF(B222&lt;&gt;"", _xlfn.CONCAT(B222, "_", Metadata!$B$1), "")</f>
        <v/>
      </c>
    </row>
    <row r="223" spans="3:3">
      <c r="C223" s="3" t="str">
        <f>IF(B223&lt;&gt;"", _xlfn.CONCAT(B223, "_", Metadata!$B$1), "")</f>
        <v/>
      </c>
    </row>
    <row r="224" spans="3:3">
      <c r="C224" s="3" t="str">
        <f>IF(B224&lt;&gt;"", _xlfn.CONCAT(B224, "_", Metadata!$B$1), "")</f>
        <v/>
      </c>
    </row>
    <row r="225" spans="3:3">
      <c r="C225" s="3" t="str">
        <f>IF(B225&lt;&gt;"", _xlfn.CONCAT(B225, "_", Metadata!$B$1), "")</f>
        <v/>
      </c>
    </row>
    <row r="226" spans="3:3">
      <c r="C226" s="3" t="str">
        <f>IF(B226&lt;&gt;"", _xlfn.CONCAT(B226, "_", Metadata!$B$1), "")</f>
        <v/>
      </c>
    </row>
    <row r="227" spans="3:3">
      <c r="C227" s="3" t="str">
        <f>IF(B227&lt;&gt;"", _xlfn.CONCAT(B227, "_", Metadata!$B$1), "")</f>
        <v/>
      </c>
    </row>
    <row r="228" spans="3:3">
      <c r="C228" s="3" t="str">
        <f>IF(B228&lt;&gt;"", _xlfn.CONCAT(B228, "_", Metadata!$B$1), "")</f>
        <v/>
      </c>
    </row>
    <row r="229" spans="3:3">
      <c r="C229" s="3" t="str">
        <f>IF(B229&lt;&gt;"", _xlfn.CONCAT(B229, "_", Metadata!$B$1), "")</f>
        <v/>
      </c>
    </row>
    <row r="230" spans="3:3">
      <c r="C230" s="3" t="str">
        <f>IF(B230&lt;&gt;"", _xlfn.CONCAT(B230, "_", Metadata!$B$1), "")</f>
        <v/>
      </c>
    </row>
    <row r="231" spans="3:3">
      <c r="C231" s="3" t="str">
        <f>IF(B231&lt;&gt;"", _xlfn.CONCAT(B231, "_", Metadata!$B$1), "")</f>
        <v/>
      </c>
    </row>
    <row r="232" spans="3:3">
      <c r="C232" s="3" t="str">
        <f>IF(B232&lt;&gt;"", _xlfn.CONCAT(B232, "_", Metadata!$B$1), "")</f>
        <v/>
      </c>
    </row>
    <row r="233" spans="3:3">
      <c r="C233" s="3" t="str">
        <f>IF(B233&lt;&gt;"", _xlfn.CONCAT(B233, "_", Metadata!$B$1), "")</f>
        <v/>
      </c>
    </row>
    <row r="234" spans="3:3">
      <c r="C234" s="3" t="str">
        <f>IF(B234&lt;&gt;"", _xlfn.CONCAT(B234, "_", Metadata!$B$1), "")</f>
        <v/>
      </c>
    </row>
    <row r="235" spans="3:3">
      <c r="C235" s="3" t="str">
        <f>IF(B235&lt;&gt;"", _xlfn.CONCAT(B235, "_", Metadata!$B$1), "")</f>
        <v/>
      </c>
    </row>
    <row r="236" spans="3:3">
      <c r="C236" s="3" t="str">
        <f>IF(B236&lt;&gt;"", _xlfn.CONCAT(B236, "_", Metadata!$B$1), "")</f>
        <v/>
      </c>
    </row>
    <row r="237" spans="3:3">
      <c r="C237" s="3" t="str">
        <f>IF(B237&lt;&gt;"", _xlfn.CONCAT(B237, "_", Metadata!$B$1), "")</f>
        <v/>
      </c>
    </row>
    <row r="238" spans="3:3">
      <c r="C238" s="3" t="str">
        <f>IF(B238&lt;&gt;"", _xlfn.CONCAT(B238, "_", Metadata!$B$1), "")</f>
        <v/>
      </c>
    </row>
    <row r="239" spans="3:3">
      <c r="C239" s="3" t="str">
        <f>IF(B239&lt;&gt;"", _xlfn.CONCAT(B239, "_", Metadata!$B$1), "")</f>
        <v/>
      </c>
    </row>
    <row r="240" spans="3:3">
      <c r="C240" s="3" t="str">
        <f>IF(B240&lt;&gt;"", _xlfn.CONCAT(B240, "_", Metadata!$B$1), "")</f>
        <v/>
      </c>
    </row>
    <row r="241" spans="3:3">
      <c r="C241" s="3" t="str">
        <f>IF(B241&lt;&gt;"", _xlfn.CONCAT(B241, "_", Metadata!$B$1), "")</f>
        <v/>
      </c>
    </row>
    <row r="242" spans="3:3">
      <c r="C242" s="3" t="str">
        <f>IF(B242&lt;&gt;"", _xlfn.CONCAT(B242, "_", Metadata!$B$1), "")</f>
        <v/>
      </c>
    </row>
    <row r="243" spans="3:3">
      <c r="C243" s="3" t="str">
        <f>IF(B243&lt;&gt;"", _xlfn.CONCAT(B243, "_", Metadata!$B$1), "")</f>
        <v/>
      </c>
    </row>
    <row r="244" spans="3:3">
      <c r="C244" s="3" t="str">
        <f>IF(B244&lt;&gt;"", _xlfn.CONCAT(B244, "_", Metadata!$B$1), "")</f>
        <v/>
      </c>
    </row>
    <row r="245" spans="3:3">
      <c r="C245" s="3" t="str">
        <f>IF(B245&lt;&gt;"", _xlfn.CONCAT(B245, "_", Metadata!$B$1), "")</f>
        <v/>
      </c>
    </row>
    <row r="246" spans="3:3">
      <c r="C246" s="3" t="str">
        <f>IF(B246&lt;&gt;"", _xlfn.CONCAT(B246, "_", Metadata!$B$1), "")</f>
        <v/>
      </c>
    </row>
    <row r="247" spans="3:3">
      <c r="C247" s="3" t="str">
        <f>IF(B247&lt;&gt;"", _xlfn.CONCAT(B247, "_", Metadata!$B$1), "")</f>
        <v/>
      </c>
    </row>
    <row r="248" spans="3:3">
      <c r="C248" s="3" t="str">
        <f>IF(B248&lt;&gt;"", _xlfn.CONCAT(B248, "_", Metadata!$B$1), "")</f>
        <v/>
      </c>
    </row>
    <row r="249" spans="3:3">
      <c r="C249" s="3" t="str">
        <f>IF(B249&lt;&gt;"", _xlfn.CONCAT(B249, "_", Metadata!$B$1), "")</f>
        <v/>
      </c>
    </row>
    <row r="250" spans="3:3">
      <c r="C250" s="3" t="str">
        <f>IF(B250&lt;&gt;"", _xlfn.CONCAT(B250, "_", Metadata!$B$1), "")</f>
        <v/>
      </c>
    </row>
    <row r="251" spans="3:3">
      <c r="C251" s="3" t="str">
        <f>IF(B251&lt;&gt;"", _xlfn.CONCAT(B251, "_", Metadata!$B$1), "")</f>
        <v/>
      </c>
    </row>
    <row r="252" spans="3:3">
      <c r="C252" s="3" t="str">
        <f>IF(B252&lt;&gt;"", _xlfn.CONCAT(B252, "_", Metadata!$B$1), "")</f>
        <v/>
      </c>
    </row>
    <row r="253" spans="3:3">
      <c r="C253" s="3" t="str">
        <f>IF(B253&lt;&gt;"", _xlfn.CONCAT(B253, "_", Metadata!$B$1), "")</f>
        <v/>
      </c>
    </row>
    <row r="254" spans="3:3">
      <c r="C254" s="3" t="str">
        <f>IF(B254&lt;&gt;"", _xlfn.CONCAT(B254, "_", Metadata!$B$1), "")</f>
        <v/>
      </c>
    </row>
    <row r="255" spans="3:3">
      <c r="C255" s="3" t="str">
        <f>IF(B255&lt;&gt;"", _xlfn.CONCAT(B255, "_", Metadata!$B$1), "")</f>
        <v/>
      </c>
    </row>
    <row r="256" spans="3:3">
      <c r="C256" s="3" t="str">
        <f>IF(B256&lt;&gt;"", _xlfn.CONCAT(B256, "_", Metadata!$B$1), "")</f>
        <v/>
      </c>
    </row>
    <row r="257" spans="3:3">
      <c r="C257" s="3" t="str">
        <f>IF(B257&lt;&gt;"", _xlfn.CONCAT(B257, "_", Metadata!$B$1), "")</f>
        <v/>
      </c>
    </row>
    <row r="258" spans="3:3">
      <c r="C258" s="3" t="str">
        <f>IF(B258&lt;&gt;"", _xlfn.CONCAT(B258, "_", Metadata!$B$1), "")</f>
        <v/>
      </c>
    </row>
    <row r="259" spans="3:3">
      <c r="C259" s="3" t="str">
        <f>IF(B259&lt;&gt;"", _xlfn.CONCAT(B259, "_", Metadata!$B$1), "")</f>
        <v/>
      </c>
    </row>
    <row r="260" spans="3:3">
      <c r="C260" s="3" t="str">
        <f>IF(B260&lt;&gt;"", _xlfn.CONCAT(B260, "_", Metadata!$B$1), "")</f>
        <v/>
      </c>
    </row>
    <row r="261" spans="3:3">
      <c r="C261" s="3" t="str">
        <f>IF(B261&lt;&gt;"", _xlfn.CONCAT(B261, "_", Metadata!$B$1), "")</f>
        <v/>
      </c>
    </row>
    <row r="262" spans="3:3">
      <c r="C262" s="3" t="str">
        <f>IF(B262&lt;&gt;"", _xlfn.CONCAT(B262, "_", Metadata!$B$1), "")</f>
        <v/>
      </c>
    </row>
    <row r="263" spans="3:3">
      <c r="C263" s="3" t="str">
        <f>IF(B263&lt;&gt;"", _xlfn.CONCAT(B263, "_", Metadata!$B$1), "")</f>
        <v/>
      </c>
    </row>
    <row r="264" spans="3:3">
      <c r="C264" s="3" t="str">
        <f>IF(B264&lt;&gt;"", _xlfn.CONCAT(B264, "_", Metadata!$B$1), "")</f>
        <v/>
      </c>
    </row>
    <row r="265" spans="3:3">
      <c r="C265" s="3" t="str">
        <f>IF(B265&lt;&gt;"", _xlfn.CONCAT(B265, "_", Metadata!$B$1), "")</f>
        <v/>
      </c>
    </row>
    <row r="266" spans="3:3">
      <c r="C266" s="3" t="str">
        <f>IF(B266&lt;&gt;"", _xlfn.CONCAT(B266, "_", Metadata!$B$1), "")</f>
        <v/>
      </c>
    </row>
    <row r="267" spans="3:3">
      <c r="C267" s="3" t="str">
        <f>IF(B267&lt;&gt;"", _xlfn.CONCAT(B267, "_", Metadata!$B$1), "")</f>
        <v/>
      </c>
    </row>
    <row r="268" spans="3:3">
      <c r="C268" s="3" t="str">
        <f>IF(B268&lt;&gt;"", _xlfn.CONCAT(B268, "_", Metadata!$B$1), "")</f>
        <v/>
      </c>
    </row>
    <row r="269" spans="3:3">
      <c r="C269" s="3" t="str">
        <f>IF(B269&lt;&gt;"", _xlfn.CONCAT(B269, "_", Metadata!$B$1), "")</f>
        <v/>
      </c>
    </row>
    <row r="270" spans="3:3">
      <c r="C270" s="3" t="str">
        <f>IF(B270&lt;&gt;"", _xlfn.CONCAT(B270, "_", Metadata!$B$1), "")</f>
        <v/>
      </c>
    </row>
    <row r="271" spans="3:3">
      <c r="C271" s="3" t="str">
        <f>IF(B271&lt;&gt;"", _xlfn.CONCAT(B271, "_", Metadata!$B$1), "")</f>
        <v/>
      </c>
    </row>
    <row r="272" spans="3:3">
      <c r="C272" s="3" t="str">
        <f>IF(B272&lt;&gt;"", _xlfn.CONCAT(B272, "_", Metadata!$B$1), "")</f>
        <v/>
      </c>
    </row>
    <row r="273" spans="3:3">
      <c r="C273" s="3" t="str">
        <f>IF(B273&lt;&gt;"", _xlfn.CONCAT(B273, "_", Metadata!$B$1), "")</f>
        <v/>
      </c>
    </row>
    <row r="274" spans="3:3">
      <c r="C274" s="3" t="str">
        <f>IF(B274&lt;&gt;"", _xlfn.CONCAT(B274, "_", Metadata!$B$1), "")</f>
        <v/>
      </c>
    </row>
    <row r="275" spans="3:3">
      <c r="C275" s="3" t="str">
        <f>IF(B275&lt;&gt;"", _xlfn.CONCAT(B275, "_", Metadata!$B$1), "")</f>
        <v/>
      </c>
    </row>
    <row r="276" spans="3:3">
      <c r="C276" s="3" t="str">
        <f>IF(B276&lt;&gt;"", _xlfn.CONCAT(B276, "_", Metadata!$B$1), "")</f>
        <v/>
      </c>
    </row>
    <row r="277" spans="3:3">
      <c r="C277" s="3" t="str">
        <f>IF(B277&lt;&gt;"", _xlfn.CONCAT(B277, "_", Metadata!$B$1), "")</f>
        <v/>
      </c>
    </row>
    <row r="278" spans="3:3">
      <c r="C278" s="3" t="str">
        <f>IF(B278&lt;&gt;"", _xlfn.CONCAT(B278, "_", Metadata!$B$1), "")</f>
        <v/>
      </c>
    </row>
    <row r="279" spans="3:3">
      <c r="C279" s="3" t="str">
        <f>IF(B279&lt;&gt;"", _xlfn.CONCAT(B279, "_", Metadata!$B$1), "")</f>
        <v/>
      </c>
    </row>
    <row r="280" spans="3:3">
      <c r="C280" s="3" t="str">
        <f>IF(B280&lt;&gt;"", _xlfn.CONCAT(B280, "_", Metadata!$B$1), "")</f>
        <v/>
      </c>
    </row>
    <row r="281" spans="3:3">
      <c r="C281" s="3" t="str">
        <f>IF(B281&lt;&gt;"", _xlfn.CONCAT(B281, "_", Metadata!$B$1), "")</f>
        <v/>
      </c>
    </row>
    <row r="282" spans="3:3">
      <c r="C282" s="3" t="str">
        <f>IF(B282&lt;&gt;"", _xlfn.CONCAT(B282, "_", Metadata!$B$1), "")</f>
        <v/>
      </c>
    </row>
    <row r="283" spans="3:3">
      <c r="C283" s="3" t="str">
        <f>IF(B283&lt;&gt;"", _xlfn.CONCAT(B283, "_", Metadata!$B$1), "")</f>
        <v/>
      </c>
    </row>
    <row r="284" spans="3:3">
      <c r="C284" s="3" t="str">
        <f>IF(B284&lt;&gt;"", _xlfn.CONCAT(B284, "_", Metadata!$B$1), "")</f>
        <v/>
      </c>
    </row>
    <row r="285" spans="3:3">
      <c r="C285" s="3" t="str">
        <f>IF(B285&lt;&gt;"", _xlfn.CONCAT(B285, "_", Metadata!$B$1), "")</f>
        <v/>
      </c>
    </row>
    <row r="286" spans="3:3">
      <c r="C286" s="3" t="str">
        <f>IF(B286&lt;&gt;"", _xlfn.CONCAT(B286, "_", Metadata!$B$1), "")</f>
        <v/>
      </c>
    </row>
    <row r="287" spans="3:3">
      <c r="C287" s="3" t="str">
        <f>IF(B287&lt;&gt;"", _xlfn.CONCAT(B287, "_", Metadata!$B$1), "")</f>
        <v/>
      </c>
    </row>
    <row r="288" spans="3:3">
      <c r="C288" s="3" t="str">
        <f>IF(B288&lt;&gt;"", _xlfn.CONCAT(B288, "_", Metadata!$B$1), "")</f>
        <v/>
      </c>
    </row>
    <row r="289" spans="3:3">
      <c r="C289" s="3" t="str">
        <f>IF(B289&lt;&gt;"", _xlfn.CONCAT(B289, "_", Metadata!$B$1), "")</f>
        <v/>
      </c>
    </row>
    <row r="290" spans="3:3">
      <c r="C290" s="3" t="str">
        <f>IF(B290&lt;&gt;"", _xlfn.CONCAT(B290, "_", Metadata!$B$1), "")</f>
        <v/>
      </c>
    </row>
    <row r="291" spans="3:3">
      <c r="C291" s="3" t="str">
        <f>IF(B291&lt;&gt;"", _xlfn.CONCAT(B291, "_", Metadata!$B$1), "")</f>
        <v/>
      </c>
    </row>
    <row r="292" spans="3:3">
      <c r="C292" s="3" t="str">
        <f>IF(B292&lt;&gt;"", _xlfn.CONCAT(B292, "_", Metadata!$B$1), "")</f>
        <v/>
      </c>
    </row>
    <row r="293" spans="3:3">
      <c r="C293" s="3" t="str">
        <f>IF(B293&lt;&gt;"", _xlfn.CONCAT(B293, "_", Metadata!$B$1), "")</f>
        <v/>
      </c>
    </row>
    <row r="294" spans="3:3">
      <c r="C294" s="3" t="str">
        <f>IF(B294&lt;&gt;"", _xlfn.CONCAT(B294, "_", Metadata!$B$1), "")</f>
        <v/>
      </c>
    </row>
    <row r="295" spans="3:3">
      <c r="C295" s="3" t="str">
        <f>IF(B295&lt;&gt;"", _xlfn.CONCAT(B295, "_", Metadata!$B$1), "")</f>
        <v/>
      </c>
    </row>
    <row r="296" spans="3:3">
      <c r="C296" s="3" t="str">
        <f>IF(B296&lt;&gt;"", _xlfn.CONCAT(B296, "_", Metadata!$B$1), "")</f>
        <v/>
      </c>
    </row>
    <row r="297" spans="3:3">
      <c r="C297" s="3" t="str">
        <f>IF(B297&lt;&gt;"", _xlfn.CONCAT(B297, "_", Metadata!$B$1), "")</f>
        <v/>
      </c>
    </row>
    <row r="298" spans="3:3">
      <c r="C298" s="3" t="str">
        <f>IF(B298&lt;&gt;"", _xlfn.CONCAT(B298, "_", Metadata!$B$1), "")</f>
        <v/>
      </c>
    </row>
    <row r="299" spans="3:3">
      <c r="C299" s="3" t="str">
        <f>IF(B299&lt;&gt;"", _xlfn.CONCAT(B299, "_", Metadata!$B$1), "")</f>
        <v/>
      </c>
    </row>
    <row r="300" spans="3:3">
      <c r="C300" s="3" t="str">
        <f>IF(B300&lt;&gt;"", _xlfn.CONCAT(B300, "_", Metadata!$B$1), "")</f>
        <v/>
      </c>
    </row>
    <row r="301" spans="3:3">
      <c r="C301" s="3" t="str">
        <f>IF(B301&lt;&gt;"", _xlfn.CONCAT(B301, "_", Metadata!$B$1), "")</f>
        <v/>
      </c>
    </row>
    <row r="302" spans="3:3">
      <c r="C302" s="3" t="str">
        <f>IF(B302&lt;&gt;"", _xlfn.CONCAT(B302, "_", Metadata!$B$1), "")</f>
        <v/>
      </c>
    </row>
    <row r="303" spans="3:3">
      <c r="C303" s="3" t="str">
        <f>IF(B303&lt;&gt;"", _xlfn.CONCAT(B303, "_", Metadata!$B$1), "")</f>
        <v/>
      </c>
    </row>
    <row r="304" spans="3:3">
      <c r="C304" s="3" t="str">
        <f>IF(B304&lt;&gt;"", _xlfn.CONCAT(B304, "_", Metadata!$B$1), "")</f>
        <v/>
      </c>
    </row>
    <row r="305" spans="3:3">
      <c r="C305" s="3" t="str">
        <f>IF(B305&lt;&gt;"", _xlfn.CONCAT(B305, "_", Metadata!$B$1), "")</f>
        <v/>
      </c>
    </row>
    <row r="306" spans="3:3">
      <c r="C306" s="3" t="str">
        <f>IF(B306&lt;&gt;"", _xlfn.CONCAT(B306, "_", Metadata!$B$1), "")</f>
        <v/>
      </c>
    </row>
    <row r="307" spans="3:3">
      <c r="C307" s="3" t="str">
        <f>IF(B307&lt;&gt;"", _xlfn.CONCAT(B307, "_", Metadata!$B$1), "")</f>
        <v/>
      </c>
    </row>
    <row r="308" spans="3:3">
      <c r="C308" s="3" t="str">
        <f>IF(B308&lt;&gt;"", _xlfn.CONCAT(B308, "_", Metadata!$B$1), "")</f>
        <v/>
      </c>
    </row>
    <row r="309" spans="3:3">
      <c r="C309" s="3" t="str">
        <f>IF(B309&lt;&gt;"", _xlfn.CONCAT(B309, "_", Metadata!$B$1), "")</f>
        <v/>
      </c>
    </row>
    <row r="310" spans="3:3">
      <c r="C310" s="3" t="str">
        <f>IF(B310&lt;&gt;"", _xlfn.CONCAT(B310, "_", Metadata!$B$1), "")</f>
        <v/>
      </c>
    </row>
    <row r="311" spans="3:3">
      <c r="C311" s="3" t="str">
        <f>IF(B311&lt;&gt;"", _xlfn.CONCAT(B311, "_", Metadata!$B$1), "")</f>
        <v/>
      </c>
    </row>
    <row r="312" spans="3:3">
      <c r="C312" s="3" t="str">
        <f>IF(B312&lt;&gt;"", _xlfn.CONCAT(B312, "_", Metadata!$B$1), "")</f>
        <v/>
      </c>
    </row>
    <row r="313" spans="3:3">
      <c r="C313" s="3" t="str">
        <f>IF(B313&lt;&gt;"", _xlfn.CONCAT(B313, "_", Metadata!$B$1), "")</f>
        <v/>
      </c>
    </row>
    <row r="314" spans="3:3">
      <c r="C314" s="3" t="str">
        <f>IF(B314&lt;&gt;"", _xlfn.CONCAT(B314, "_", Metadata!$B$1), "")</f>
        <v/>
      </c>
    </row>
    <row r="315" spans="3:3">
      <c r="C315" s="3" t="str">
        <f>IF(B315&lt;&gt;"", _xlfn.CONCAT(B315, "_", Metadata!$B$1), "")</f>
        <v/>
      </c>
    </row>
    <row r="316" spans="3:3">
      <c r="C316" s="3" t="str">
        <f>IF(B316&lt;&gt;"", _xlfn.CONCAT(B316, "_", Metadata!$B$1), "")</f>
        <v/>
      </c>
    </row>
    <row r="317" spans="3:3">
      <c r="C317" s="3" t="str">
        <f>IF(B317&lt;&gt;"", _xlfn.CONCAT(B317, "_", Metadata!$B$1), "")</f>
        <v/>
      </c>
    </row>
    <row r="318" spans="3:3">
      <c r="C318" s="3" t="str">
        <f>IF(B318&lt;&gt;"", _xlfn.CONCAT(B318, "_", Metadata!$B$1), "")</f>
        <v/>
      </c>
    </row>
    <row r="319" spans="3:3">
      <c r="C319" s="3" t="str">
        <f>IF(B319&lt;&gt;"", _xlfn.CONCAT(B319, "_", Metadata!$B$1), "")</f>
        <v/>
      </c>
    </row>
    <row r="320" spans="3:3">
      <c r="C320" s="3" t="str">
        <f>IF(B320&lt;&gt;"", _xlfn.CONCAT(B320, "_", Metadata!$B$1), "")</f>
        <v/>
      </c>
    </row>
    <row r="321" spans="3:3">
      <c r="C321" s="3" t="str">
        <f>IF(B321&lt;&gt;"", _xlfn.CONCAT(B321, "_", Metadata!$B$1), "")</f>
        <v/>
      </c>
    </row>
    <row r="322" spans="3:3">
      <c r="C322" s="3" t="str">
        <f>IF(B322&lt;&gt;"", _xlfn.CONCAT(B322, "_", Metadata!$B$1), "")</f>
        <v/>
      </c>
    </row>
    <row r="323" spans="3:3">
      <c r="C323" s="3" t="str">
        <f>IF(B323&lt;&gt;"", _xlfn.CONCAT(B323, "_", Metadata!$B$1), "")</f>
        <v/>
      </c>
    </row>
    <row r="324" spans="3:3">
      <c r="C324" s="3" t="str">
        <f>IF(B324&lt;&gt;"", _xlfn.CONCAT(B324, "_", Metadata!$B$1), "")</f>
        <v/>
      </c>
    </row>
    <row r="325" spans="3:3">
      <c r="C325" s="3" t="str">
        <f>IF(B325&lt;&gt;"", _xlfn.CONCAT(B325, "_", Metadata!$B$1), "")</f>
        <v/>
      </c>
    </row>
    <row r="326" spans="3:3">
      <c r="C326" s="3" t="str">
        <f>IF(B326&lt;&gt;"", _xlfn.CONCAT(B326, "_", Metadata!$B$1), "")</f>
        <v/>
      </c>
    </row>
    <row r="327" spans="3:3">
      <c r="C327" s="3" t="str">
        <f>IF(B327&lt;&gt;"", _xlfn.CONCAT(B327, "_", Metadata!$B$1), "")</f>
        <v/>
      </c>
    </row>
    <row r="328" spans="3:3">
      <c r="C328" s="3" t="str">
        <f>IF(B328&lt;&gt;"", _xlfn.CONCAT(B328, "_", Metadata!$B$1), "")</f>
        <v/>
      </c>
    </row>
    <row r="329" spans="3:3">
      <c r="C329" s="3" t="str">
        <f>IF(B329&lt;&gt;"", _xlfn.CONCAT(B329, "_", Metadata!$B$1), "")</f>
        <v/>
      </c>
    </row>
    <row r="330" spans="3:3">
      <c r="C330" s="3" t="str">
        <f>IF(B330&lt;&gt;"", _xlfn.CONCAT(B330, "_", Metadata!$B$1), "")</f>
        <v/>
      </c>
    </row>
    <row r="331" spans="3:3">
      <c r="C331" s="3" t="str">
        <f>IF(B331&lt;&gt;"", _xlfn.CONCAT(B331, "_", Metadata!$B$1), "")</f>
        <v/>
      </c>
    </row>
    <row r="332" spans="3:3">
      <c r="C332" s="3" t="str">
        <f>IF(B332&lt;&gt;"", _xlfn.CONCAT(B332, "_", Metadata!$B$1), "")</f>
        <v/>
      </c>
    </row>
    <row r="333" spans="3:3">
      <c r="C333" s="3" t="str">
        <f>IF(B333&lt;&gt;"", _xlfn.CONCAT(B333, "_", Metadata!$B$1), "")</f>
        <v/>
      </c>
    </row>
    <row r="334" spans="3:3">
      <c r="C334" s="3" t="str">
        <f>IF(B334&lt;&gt;"", _xlfn.CONCAT(B334, "_", Metadata!$B$1), "")</f>
        <v/>
      </c>
    </row>
    <row r="335" spans="3:3">
      <c r="C335" s="3" t="str">
        <f>IF(B335&lt;&gt;"", _xlfn.CONCAT(B335, "_", Metadata!$B$1), "")</f>
        <v/>
      </c>
    </row>
    <row r="336" spans="3:3">
      <c r="C336" s="3" t="str">
        <f>IF(B336&lt;&gt;"", _xlfn.CONCAT(B336, "_", Metadata!$B$1), "")</f>
        <v/>
      </c>
    </row>
    <row r="337" spans="3:3">
      <c r="C337" s="3" t="str">
        <f>IF(B337&lt;&gt;"", _xlfn.CONCAT(B337, "_", Metadata!$B$1), "")</f>
        <v/>
      </c>
    </row>
    <row r="338" spans="3:3">
      <c r="C338" s="3" t="str">
        <f>IF(B338&lt;&gt;"", _xlfn.CONCAT(B338, "_", Metadata!$B$1), "")</f>
        <v/>
      </c>
    </row>
    <row r="339" spans="3:3">
      <c r="C339" s="3" t="str">
        <f>IF(B339&lt;&gt;"", _xlfn.CONCAT(B339, "_", Metadata!$B$1), "")</f>
        <v/>
      </c>
    </row>
    <row r="340" spans="3:3">
      <c r="C340" s="3" t="str">
        <f>IF(B340&lt;&gt;"", _xlfn.CONCAT(B340, "_", Metadata!$B$1), "")</f>
        <v/>
      </c>
    </row>
    <row r="341" spans="3:3">
      <c r="C341" s="3" t="str">
        <f>IF(B341&lt;&gt;"", _xlfn.CONCAT(B341, "_", Metadata!$B$1), "")</f>
        <v/>
      </c>
    </row>
    <row r="342" spans="3:3">
      <c r="C342" s="3" t="str">
        <f>IF(B342&lt;&gt;"", _xlfn.CONCAT(B342, "_", Metadata!$B$1), "")</f>
        <v/>
      </c>
    </row>
    <row r="343" spans="3:3">
      <c r="C343" s="3" t="str">
        <f>IF(B343&lt;&gt;"", _xlfn.CONCAT(B343, "_", Metadata!$B$1), "")</f>
        <v/>
      </c>
    </row>
    <row r="344" spans="3:3">
      <c r="C344" s="3" t="str">
        <f>IF(B344&lt;&gt;"", _xlfn.CONCAT(B344, "_", Metadata!$B$1), "")</f>
        <v/>
      </c>
    </row>
    <row r="345" spans="3:3">
      <c r="C345" s="3" t="str">
        <f>IF(B345&lt;&gt;"", _xlfn.CONCAT(B345, "_", Metadata!$B$1), "")</f>
        <v/>
      </c>
    </row>
    <row r="346" spans="3:3">
      <c r="C346" s="3" t="str">
        <f>IF(B346&lt;&gt;"", _xlfn.CONCAT(B346, "_", Metadata!$B$1), "")</f>
        <v/>
      </c>
    </row>
    <row r="347" spans="3:3">
      <c r="C347" s="3" t="str">
        <f>IF(B347&lt;&gt;"", _xlfn.CONCAT(B347, "_", Metadata!$B$1), "")</f>
        <v/>
      </c>
    </row>
    <row r="348" spans="3:3">
      <c r="C348" s="3" t="str">
        <f>IF(B348&lt;&gt;"", _xlfn.CONCAT(B348, "_", Metadata!$B$1), "")</f>
        <v/>
      </c>
    </row>
    <row r="349" spans="3:3">
      <c r="C349" s="3" t="str">
        <f>IF(B349&lt;&gt;"", _xlfn.CONCAT(B349, "_", Metadata!$B$1), "")</f>
        <v/>
      </c>
    </row>
    <row r="350" spans="3:3">
      <c r="C350" s="3" t="str">
        <f>IF(B350&lt;&gt;"", _xlfn.CONCAT(B350, "_", Metadata!$B$1), "")</f>
        <v/>
      </c>
    </row>
    <row r="351" spans="3:3">
      <c r="C351" s="3" t="str">
        <f>IF(B351&lt;&gt;"", _xlfn.CONCAT(B351, "_", Metadata!$B$1), "")</f>
        <v/>
      </c>
    </row>
    <row r="352" spans="3:3">
      <c r="C352" s="3" t="str">
        <f>IF(B352&lt;&gt;"", _xlfn.CONCAT(B352, "_", Metadata!$B$1), "")</f>
        <v/>
      </c>
    </row>
    <row r="353" spans="3:3">
      <c r="C353" s="3" t="str">
        <f>IF(B353&lt;&gt;"", _xlfn.CONCAT(B353, "_", Metadata!$B$1), "")</f>
        <v/>
      </c>
    </row>
    <row r="354" spans="3:3">
      <c r="C354" s="3" t="str">
        <f>IF(B354&lt;&gt;"", _xlfn.CONCAT(B354, "_", Metadata!$B$1), "")</f>
        <v/>
      </c>
    </row>
    <row r="355" spans="3:3">
      <c r="C355" s="3" t="str">
        <f>IF(B355&lt;&gt;"", _xlfn.CONCAT(B355, "_", Metadata!$B$1), "")</f>
        <v/>
      </c>
    </row>
    <row r="356" spans="3:3">
      <c r="C356" s="3" t="str">
        <f>IF(B356&lt;&gt;"", _xlfn.CONCAT(B356, "_", Metadata!$B$1), "")</f>
        <v/>
      </c>
    </row>
    <row r="357" spans="3:3">
      <c r="C357" s="3" t="str">
        <f>IF(B357&lt;&gt;"", _xlfn.CONCAT(B357, "_", Metadata!$B$1), "")</f>
        <v/>
      </c>
    </row>
    <row r="358" spans="3:3">
      <c r="C358" s="3" t="str">
        <f>IF(B358&lt;&gt;"", _xlfn.CONCAT(B358, "_", Metadata!$B$1), "")</f>
        <v/>
      </c>
    </row>
    <row r="359" spans="3:3">
      <c r="C359" s="3" t="str">
        <f>IF(B359&lt;&gt;"", _xlfn.CONCAT(B359, "_", Metadata!$B$1), "")</f>
        <v/>
      </c>
    </row>
    <row r="360" spans="3:3">
      <c r="C360" s="3" t="str">
        <f>IF(B360&lt;&gt;"", _xlfn.CONCAT(B360, "_", Metadata!$B$1), "")</f>
        <v/>
      </c>
    </row>
    <row r="361" spans="3:3">
      <c r="C361" s="3" t="str">
        <f>IF(B361&lt;&gt;"", _xlfn.CONCAT(B361, "_", Metadata!$B$1), "")</f>
        <v/>
      </c>
    </row>
    <row r="362" spans="3:3">
      <c r="C362" s="3" t="str">
        <f>IF(B362&lt;&gt;"", _xlfn.CONCAT(B362, "_", Metadata!$B$1), "")</f>
        <v/>
      </c>
    </row>
    <row r="363" spans="3:3">
      <c r="C363" s="3" t="str">
        <f>IF(B363&lt;&gt;"", _xlfn.CONCAT(B363, "_", Metadata!$B$1), "")</f>
        <v/>
      </c>
    </row>
    <row r="364" spans="3:3">
      <c r="C364" s="3" t="str">
        <f>IF(B364&lt;&gt;"", _xlfn.CONCAT(B364, "_", Metadata!$B$1), "")</f>
        <v/>
      </c>
    </row>
    <row r="365" spans="3:3">
      <c r="C365" s="3" t="str">
        <f>IF(B365&lt;&gt;"", _xlfn.CONCAT(B365, "_", Metadata!$B$1), "")</f>
        <v/>
      </c>
    </row>
    <row r="366" spans="3:3">
      <c r="C366" s="3" t="str">
        <f>IF(B366&lt;&gt;"", _xlfn.CONCAT(B366, "_", Metadata!$B$1), "")</f>
        <v/>
      </c>
    </row>
    <row r="367" spans="3:3">
      <c r="C367" s="3" t="str">
        <f>IF(B367&lt;&gt;"", _xlfn.CONCAT(B367, "_", Metadata!$B$1), "")</f>
        <v/>
      </c>
    </row>
    <row r="368" spans="3:3">
      <c r="C368" s="3" t="str">
        <f>IF(B368&lt;&gt;"", _xlfn.CONCAT(B368, "_", Metadata!$B$1), "")</f>
        <v/>
      </c>
    </row>
    <row r="369" spans="3:3">
      <c r="C369" s="3" t="str">
        <f>IF(B369&lt;&gt;"", _xlfn.CONCAT(B369, "_", Metadata!$B$1), "")</f>
        <v/>
      </c>
    </row>
    <row r="370" spans="3:3">
      <c r="C370" s="3" t="str">
        <f>IF(B370&lt;&gt;"", _xlfn.CONCAT(B370, "_", Metadata!$B$1), "")</f>
        <v/>
      </c>
    </row>
    <row r="371" spans="3:3">
      <c r="C371" s="3" t="str">
        <f>IF(B371&lt;&gt;"", _xlfn.CONCAT(B371, "_", Metadata!$B$1), "")</f>
        <v/>
      </c>
    </row>
    <row r="372" spans="3:3">
      <c r="C372" s="3" t="str">
        <f>IF(B372&lt;&gt;"", _xlfn.CONCAT(B372, "_", Metadata!$B$1), "")</f>
        <v/>
      </c>
    </row>
    <row r="373" spans="3:3">
      <c r="C373" s="3" t="str">
        <f>IF(B373&lt;&gt;"", _xlfn.CONCAT(B373, "_", Metadata!$B$1), "")</f>
        <v/>
      </c>
    </row>
    <row r="374" spans="3:3">
      <c r="C374" s="3" t="str">
        <f>IF(B374&lt;&gt;"", _xlfn.CONCAT(B374, "_", Metadata!$B$1), "")</f>
        <v/>
      </c>
    </row>
    <row r="375" spans="3:3">
      <c r="C375" s="3" t="str">
        <f>IF(B375&lt;&gt;"", _xlfn.CONCAT(B375, "_", Metadata!$B$1), "")</f>
        <v/>
      </c>
    </row>
    <row r="376" spans="3:3">
      <c r="C376" s="3" t="str">
        <f>IF(B376&lt;&gt;"", _xlfn.CONCAT(B376, "_", Metadata!$B$1), "")</f>
        <v/>
      </c>
    </row>
    <row r="377" spans="3:3">
      <c r="C377" s="3" t="str">
        <f>IF(B377&lt;&gt;"", _xlfn.CONCAT(B377, "_", Metadata!$B$1), "")</f>
        <v/>
      </c>
    </row>
    <row r="378" spans="3:3">
      <c r="C378" s="3" t="str">
        <f>IF(B378&lt;&gt;"", _xlfn.CONCAT(B378, "_", Metadata!$B$1), "")</f>
        <v/>
      </c>
    </row>
    <row r="379" spans="3:3">
      <c r="C379" s="3" t="str">
        <f>IF(B379&lt;&gt;"", _xlfn.CONCAT(B379, "_", Metadata!$B$1), "")</f>
        <v/>
      </c>
    </row>
    <row r="380" spans="3:3">
      <c r="C380" s="3" t="str">
        <f>IF(B380&lt;&gt;"", _xlfn.CONCAT(B380, "_", Metadata!$B$1), "")</f>
        <v/>
      </c>
    </row>
    <row r="381" spans="3:3">
      <c r="C381" s="3" t="str">
        <f>IF(B381&lt;&gt;"", _xlfn.CONCAT(B381, "_", Metadata!$B$1), "")</f>
        <v/>
      </c>
    </row>
    <row r="382" spans="3:3">
      <c r="C382" s="3" t="str">
        <f>IF(B382&lt;&gt;"", _xlfn.CONCAT(B382, "_", Metadata!$B$1), "")</f>
        <v/>
      </c>
    </row>
    <row r="383" spans="3:3">
      <c r="C383" s="3" t="str">
        <f>IF(B383&lt;&gt;"", _xlfn.CONCAT(B383, "_", Metadata!$B$1), "")</f>
        <v/>
      </c>
    </row>
    <row r="384" spans="3:3">
      <c r="C384" s="3" t="str">
        <f>IF(B384&lt;&gt;"", _xlfn.CONCAT(B384, "_", Metadata!$B$1), "")</f>
        <v/>
      </c>
    </row>
    <row r="385" spans="3:3">
      <c r="C385" s="3" t="str">
        <f>IF(B385&lt;&gt;"", _xlfn.CONCAT(B385, "_", Metadata!$B$1), "")</f>
        <v/>
      </c>
    </row>
    <row r="386" spans="3:3">
      <c r="C386" s="3" t="str">
        <f>IF(B386&lt;&gt;"", _xlfn.CONCAT(B386, "_", Metadata!$B$1), "")</f>
        <v/>
      </c>
    </row>
    <row r="387" spans="3:3">
      <c r="C387" s="3" t="str">
        <f>IF(B387&lt;&gt;"", _xlfn.CONCAT(B387, "_", Metadata!$B$1), "")</f>
        <v/>
      </c>
    </row>
    <row r="388" spans="3:3">
      <c r="C388" s="3" t="str">
        <f>IF(B388&lt;&gt;"", _xlfn.CONCAT(B388, "_", Metadata!$B$1), "")</f>
        <v/>
      </c>
    </row>
    <row r="389" spans="3:3">
      <c r="C389" s="3" t="str">
        <f>IF(B389&lt;&gt;"", _xlfn.CONCAT(B389, "_", Metadata!$B$1), "")</f>
        <v/>
      </c>
    </row>
    <row r="390" spans="3:3">
      <c r="C390" s="3" t="str">
        <f>IF(B390&lt;&gt;"", _xlfn.CONCAT(B390, "_", Metadata!$B$1), "")</f>
        <v/>
      </c>
    </row>
    <row r="391" spans="3:3">
      <c r="C391" s="3" t="str">
        <f>IF(B391&lt;&gt;"", _xlfn.CONCAT(B391, "_", Metadata!$B$1), "")</f>
        <v/>
      </c>
    </row>
    <row r="392" spans="3:3">
      <c r="C392" s="3" t="str">
        <f>IF(B392&lt;&gt;"", _xlfn.CONCAT(B392, "_", Metadata!$B$1), "")</f>
        <v/>
      </c>
    </row>
    <row r="393" spans="3:3">
      <c r="C393" s="3" t="str">
        <f>IF(B393&lt;&gt;"", _xlfn.CONCAT(B393, "_", Metadata!$B$1), "")</f>
        <v/>
      </c>
    </row>
    <row r="394" spans="3:3">
      <c r="C394" s="3" t="str">
        <f>IF(B394&lt;&gt;"", _xlfn.CONCAT(B394, "_", Metadata!$B$1), "")</f>
        <v/>
      </c>
    </row>
    <row r="395" spans="3:3">
      <c r="C395" s="3" t="str">
        <f>IF(B395&lt;&gt;"", _xlfn.CONCAT(B395, "_", Metadata!$B$1), "")</f>
        <v/>
      </c>
    </row>
    <row r="396" spans="3:3">
      <c r="C396" s="3" t="str">
        <f>IF(B396&lt;&gt;"", _xlfn.CONCAT(B396, "_", Metadata!$B$1), "")</f>
        <v/>
      </c>
    </row>
    <row r="397" spans="3:3">
      <c r="C397" s="3" t="str">
        <f>IF(B397&lt;&gt;"", _xlfn.CONCAT(B397, "_", Metadata!$B$1), "")</f>
        <v/>
      </c>
    </row>
    <row r="398" spans="3:3">
      <c r="C398" s="3" t="str">
        <f>IF(B398&lt;&gt;"", _xlfn.CONCAT(B398, "_", Metadata!$B$1), "")</f>
        <v/>
      </c>
    </row>
    <row r="399" spans="3:3">
      <c r="C399" s="3" t="str">
        <f>IF(B399&lt;&gt;"", _xlfn.CONCAT(B399, "_", Metadata!$B$1), "")</f>
        <v/>
      </c>
    </row>
    <row r="400" spans="3:3">
      <c r="C400" s="3" t="str">
        <f>IF(B400&lt;&gt;"", _xlfn.CONCAT(B400, "_", Metadata!$B$1), "")</f>
        <v/>
      </c>
    </row>
    <row r="401" spans="3:3">
      <c r="C401" s="3" t="str">
        <f>IF(B401&lt;&gt;"", _xlfn.CONCAT(B401, "_", Metadata!$B$1), "")</f>
        <v/>
      </c>
    </row>
    <row r="402" spans="3:3">
      <c r="C402" s="3" t="str">
        <f>IF(B402&lt;&gt;"", _xlfn.CONCAT(B402, "_", Metadata!$B$1), "")</f>
        <v/>
      </c>
    </row>
    <row r="403" spans="3:3">
      <c r="C403" s="3" t="str">
        <f>IF(B403&lt;&gt;"", _xlfn.CONCAT(B403, "_", Metadata!$B$1), "")</f>
        <v/>
      </c>
    </row>
    <row r="404" spans="3:3">
      <c r="C404" s="3" t="str">
        <f>IF(B404&lt;&gt;"", _xlfn.CONCAT(B404, "_", Metadata!$B$1), "")</f>
        <v/>
      </c>
    </row>
    <row r="405" spans="3:3">
      <c r="C405" s="3" t="str">
        <f>IF(B405&lt;&gt;"", _xlfn.CONCAT(B405, "_", Metadata!$B$1), "")</f>
        <v/>
      </c>
    </row>
    <row r="406" spans="3:3">
      <c r="C406" s="3" t="str">
        <f>IF(B406&lt;&gt;"", _xlfn.CONCAT(B406, "_", Metadata!$B$1), "")</f>
        <v/>
      </c>
    </row>
    <row r="407" spans="3:3">
      <c r="C407" s="3" t="str">
        <f>IF(B407&lt;&gt;"", _xlfn.CONCAT(B407, "_", Metadata!$B$1), "")</f>
        <v/>
      </c>
    </row>
    <row r="408" spans="3:3">
      <c r="C408" s="3" t="str">
        <f>IF(B408&lt;&gt;"", _xlfn.CONCAT(B408, "_", Metadata!$B$1), "")</f>
        <v/>
      </c>
    </row>
    <row r="409" spans="3:3">
      <c r="C409" s="3" t="str">
        <f>IF(B409&lt;&gt;"", _xlfn.CONCAT(B409, "_", Metadata!$B$1), "")</f>
        <v/>
      </c>
    </row>
    <row r="410" spans="3:3">
      <c r="C410" s="3" t="str">
        <f>IF(B410&lt;&gt;"", _xlfn.CONCAT(B410, "_", Metadata!$B$1), "")</f>
        <v/>
      </c>
    </row>
    <row r="411" spans="3:3">
      <c r="C411" s="3" t="str">
        <f>IF(B411&lt;&gt;"", _xlfn.CONCAT(B411, "_", Metadata!$B$1), "")</f>
        <v/>
      </c>
    </row>
    <row r="412" spans="3:3">
      <c r="C412" s="3" t="str">
        <f>IF(B412&lt;&gt;"", _xlfn.CONCAT(B412, "_", Metadata!$B$1), "")</f>
        <v/>
      </c>
    </row>
    <row r="413" spans="3:3">
      <c r="C413" s="3" t="str">
        <f>IF(B413&lt;&gt;"", _xlfn.CONCAT(B413, "_", Metadata!$B$1), "")</f>
        <v/>
      </c>
    </row>
    <row r="414" spans="3:3">
      <c r="C414" s="3" t="str">
        <f>IF(B414&lt;&gt;"", _xlfn.CONCAT(B414, "_", Metadata!$B$1), "")</f>
        <v/>
      </c>
    </row>
    <row r="415" spans="3:3">
      <c r="C415" s="3" t="str">
        <f>IF(B415&lt;&gt;"", _xlfn.CONCAT(B415, "_", Metadata!$B$1), "")</f>
        <v/>
      </c>
    </row>
    <row r="416" spans="3:3">
      <c r="C416" s="3" t="str">
        <f>IF(B416&lt;&gt;"", _xlfn.CONCAT(B416, "_", Metadata!$B$1), "")</f>
        <v/>
      </c>
    </row>
    <row r="417" spans="3:3">
      <c r="C417" s="3" t="str">
        <f>IF(B417&lt;&gt;"", _xlfn.CONCAT(B417, "_", Metadata!$B$1), "")</f>
        <v/>
      </c>
    </row>
    <row r="418" spans="3:3">
      <c r="C418" s="3" t="str">
        <f>IF(B418&lt;&gt;"", _xlfn.CONCAT(B418, "_", Metadata!$B$1), "")</f>
        <v/>
      </c>
    </row>
    <row r="419" spans="3:3">
      <c r="C419" s="3" t="str">
        <f>IF(B419&lt;&gt;"", _xlfn.CONCAT(B419, "_", Metadata!$B$1), "")</f>
        <v/>
      </c>
    </row>
    <row r="420" spans="3:3">
      <c r="C420" s="3" t="str">
        <f>IF(B420&lt;&gt;"", _xlfn.CONCAT(B420, "_", Metadata!$B$1), "")</f>
        <v/>
      </c>
    </row>
    <row r="421" spans="3:3">
      <c r="C421" s="3" t="str">
        <f>IF(B421&lt;&gt;"", _xlfn.CONCAT(B421, "_", Metadata!$B$1), "")</f>
        <v/>
      </c>
    </row>
    <row r="422" spans="3:3">
      <c r="C422" s="3" t="str">
        <f>IF(B422&lt;&gt;"", _xlfn.CONCAT(B422, "_", Metadata!$B$1), "")</f>
        <v/>
      </c>
    </row>
    <row r="423" spans="3:3">
      <c r="C423" s="3" t="str">
        <f>IF(B423&lt;&gt;"", _xlfn.CONCAT(B423, "_", Metadata!$B$1), "")</f>
        <v/>
      </c>
    </row>
    <row r="424" spans="3:3">
      <c r="C424" s="3" t="str">
        <f>IF(B424&lt;&gt;"", _xlfn.CONCAT(B424, "_", Metadata!$B$1), "")</f>
        <v/>
      </c>
    </row>
    <row r="425" spans="3:3">
      <c r="C425" s="3" t="str">
        <f>IF(B425&lt;&gt;"", _xlfn.CONCAT(B425, "_", Metadata!$B$1), "")</f>
        <v/>
      </c>
    </row>
    <row r="426" spans="3:3">
      <c r="C426" s="3" t="str">
        <f>IF(B426&lt;&gt;"", _xlfn.CONCAT(B426, "_", Metadata!$B$1), "")</f>
        <v/>
      </c>
    </row>
    <row r="427" spans="3:3">
      <c r="C427" s="3" t="str">
        <f>IF(B427&lt;&gt;"", _xlfn.CONCAT(B427, "_", Metadata!$B$1), "")</f>
        <v/>
      </c>
    </row>
    <row r="428" spans="3:3">
      <c r="C428" s="3" t="str">
        <f>IF(B428&lt;&gt;"", _xlfn.CONCAT(B428, "_", Metadata!$B$1), "")</f>
        <v/>
      </c>
    </row>
    <row r="429" spans="3:3">
      <c r="C429" s="3" t="str">
        <f>IF(B429&lt;&gt;"", _xlfn.CONCAT(B429, "_", Metadata!$B$1), "")</f>
        <v/>
      </c>
    </row>
    <row r="430" spans="3:3">
      <c r="C430" s="3" t="str">
        <f>IF(B430&lt;&gt;"", _xlfn.CONCAT(B430, "_", Metadata!$B$1), "")</f>
        <v/>
      </c>
    </row>
    <row r="431" spans="3:3">
      <c r="C431" s="3" t="str">
        <f>IF(B431&lt;&gt;"", _xlfn.CONCAT(B431, "_", Metadata!$B$1), "")</f>
        <v/>
      </c>
    </row>
    <row r="432" spans="3:3">
      <c r="C432" s="3" t="str">
        <f>IF(B432&lt;&gt;"", _xlfn.CONCAT(B432, "_", Metadata!$B$1), "")</f>
        <v/>
      </c>
    </row>
    <row r="433" spans="3:3">
      <c r="C433" s="3" t="str">
        <f>IF(B433&lt;&gt;"", _xlfn.CONCAT(B433, "_", Metadata!$B$1), "")</f>
        <v/>
      </c>
    </row>
    <row r="434" spans="3:3">
      <c r="C434" s="3" t="str">
        <f>IF(B434&lt;&gt;"", _xlfn.CONCAT(B434, "_", Metadata!$B$1), "")</f>
        <v/>
      </c>
    </row>
    <row r="435" spans="3:3">
      <c r="C435" s="3" t="str">
        <f>IF(B435&lt;&gt;"", _xlfn.CONCAT(B435, "_", Metadata!$B$1), "")</f>
        <v/>
      </c>
    </row>
    <row r="436" spans="3:3">
      <c r="C436" s="3" t="str">
        <f>IF(B436&lt;&gt;"", _xlfn.CONCAT(B436, "_", Metadata!$B$1), "")</f>
        <v/>
      </c>
    </row>
    <row r="437" spans="3:3">
      <c r="C437" s="3" t="str">
        <f>IF(B437&lt;&gt;"", _xlfn.CONCAT(B437, "_", Metadata!$B$1), "")</f>
        <v/>
      </c>
    </row>
    <row r="438" spans="3:3">
      <c r="C438" s="3" t="str">
        <f>IF(B438&lt;&gt;"", _xlfn.CONCAT(B438, "_", Metadata!$B$1), "")</f>
        <v/>
      </c>
    </row>
    <row r="439" spans="3:3">
      <c r="C439" s="3" t="str">
        <f>IF(B439&lt;&gt;"", _xlfn.CONCAT(B439, "_", Metadata!$B$1), "")</f>
        <v/>
      </c>
    </row>
    <row r="440" spans="3:3">
      <c r="C440" s="3" t="str">
        <f>IF(B440&lt;&gt;"", _xlfn.CONCAT(B440, "_", Metadata!$B$1), "")</f>
        <v/>
      </c>
    </row>
    <row r="441" spans="3:3">
      <c r="C441" s="3" t="str">
        <f>IF(B441&lt;&gt;"", _xlfn.CONCAT(B441, "_", Metadata!$B$1), "")</f>
        <v/>
      </c>
    </row>
    <row r="442" spans="3:3">
      <c r="C442" s="3" t="str">
        <f>IF(B442&lt;&gt;"", _xlfn.CONCAT(B442, "_", Metadata!$B$1), "")</f>
        <v/>
      </c>
    </row>
    <row r="443" spans="3:3">
      <c r="C443" s="3" t="str">
        <f>IF(B443&lt;&gt;"", _xlfn.CONCAT(B443, "_", Metadata!$B$1), "")</f>
        <v/>
      </c>
    </row>
    <row r="444" spans="3:3">
      <c r="C444" s="3" t="str">
        <f>IF(B444&lt;&gt;"", _xlfn.CONCAT(B444, "_", Metadata!$B$1), "")</f>
        <v/>
      </c>
    </row>
    <row r="445" spans="3:3">
      <c r="C445" s="3" t="str">
        <f>IF(B445&lt;&gt;"", _xlfn.CONCAT(B445, "_", Metadata!$B$1), "")</f>
        <v/>
      </c>
    </row>
    <row r="446" spans="3:3">
      <c r="C446" s="3" t="str">
        <f>IF(B446&lt;&gt;"", _xlfn.CONCAT(B446, "_", Metadata!$B$1), "")</f>
        <v/>
      </c>
    </row>
    <row r="447" spans="3:3">
      <c r="C447" s="3" t="str">
        <f>IF(B447&lt;&gt;"", _xlfn.CONCAT(B447, "_", Metadata!$B$1), "")</f>
        <v/>
      </c>
    </row>
    <row r="448" spans="3:3">
      <c r="C448" s="3" t="str">
        <f>IF(B448&lt;&gt;"", _xlfn.CONCAT(B448, "_", Metadata!$B$1), "")</f>
        <v/>
      </c>
    </row>
    <row r="449" spans="3:3">
      <c r="C449" s="3" t="str">
        <f>IF(B449&lt;&gt;"", _xlfn.CONCAT(B449, "_", Metadata!$B$1), "")</f>
        <v/>
      </c>
    </row>
    <row r="450" spans="3:3">
      <c r="C450" s="3" t="str">
        <f>IF(B450&lt;&gt;"", _xlfn.CONCAT(B450, "_", Metadata!$B$1), "")</f>
        <v/>
      </c>
    </row>
    <row r="451" spans="3:3">
      <c r="C451" s="3" t="str">
        <f>IF(B451&lt;&gt;"", _xlfn.CONCAT(B451, "_", Metadata!$B$1), "")</f>
        <v/>
      </c>
    </row>
    <row r="452" spans="3:3">
      <c r="C452" s="3" t="str">
        <f>IF(B452&lt;&gt;"", _xlfn.CONCAT(B452, "_", Metadata!$B$1), "")</f>
        <v/>
      </c>
    </row>
    <row r="453" spans="3:3">
      <c r="C453" s="3" t="str">
        <f>IF(B453&lt;&gt;"", _xlfn.CONCAT(B453, "_", Metadata!$B$1), "")</f>
        <v/>
      </c>
    </row>
    <row r="454" spans="3:3">
      <c r="C454" s="3" t="str">
        <f>IF(B454&lt;&gt;"", _xlfn.CONCAT(B454, "_", Metadata!$B$1), "")</f>
        <v/>
      </c>
    </row>
    <row r="455" spans="3:3">
      <c r="C455" s="3" t="str">
        <f>IF(B455&lt;&gt;"", _xlfn.CONCAT(B455, "_", Metadata!$B$1), "")</f>
        <v/>
      </c>
    </row>
    <row r="456" spans="3:3">
      <c r="C456" s="3" t="str">
        <f>IF(B456&lt;&gt;"", _xlfn.CONCAT(B456, "_", Metadata!$B$1), "")</f>
        <v/>
      </c>
    </row>
    <row r="457" spans="3:3">
      <c r="C457" s="3" t="str">
        <f>IF(B457&lt;&gt;"", _xlfn.CONCAT(B457, "_", Metadata!$B$1), "")</f>
        <v/>
      </c>
    </row>
    <row r="458" spans="3:3">
      <c r="C458" s="3" t="str">
        <f>IF(B458&lt;&gt;"", _xlfn.CONCAT(B458, "_", Metadata!$B$1), "")</f>
        <v/>
      </c>
    </row>
    <row r="459" spans="3:3">
      <c r="C459" s="3" t="str">
        <f>IF(B459&lt;&gt;"", _xlfn.CONCAT(B459, "_", Metadata!$B$1), "")</f>
        <v/>
      </c>
    </row>
    <row r="460" spans="3:3">
      <c r="C460" s="3" t="str">
        <f>IF(B460&lt;&gt;"", _xlfn.CONCAT(B460, "_", Metadata!$B$1), "")</f>
        <v/>
      </c>
    </row>
    <row r="461" spans="3:3">
      <c r="C461" s="3" t="str">
        <f>IF(B461&lt;&gt;"", _xlfn.CONCAT(B461, "_", Metadata!$B$1), "")</f>
        <v/>
      </c>
    </row>
    <row r="462" spans="3:3">
      <c r="C462" s="3" t="str">
        <f>IF(B462&lt;&gt;"", _xlfn.CONCAT(B462, "_", Metadata!$B$1), "")</f>
        <v/>
      </c>
    </row>
    <row r="463" spans="3:3">
      <c r="C463" s="3" t="str">
        <f>IF(B463&lt;&gt;"", _xlfn.CONCAT(B463, "_", Metadata!$B$1), "")</f>
        <v/>
      </c>
    </row>
    <row r="464" spans="3:3">
      <c r="C464" s="3" t="str">
        <f>IF(B464&lt;&gt;"", _xlfn.CONCAT(B464, "_", Metadata!$B$1), "")</f>
        <v/>
      </c>
    </row>
    <row r="465" spans="3:3">
      <c r="C465" s="3" t="str">
        <f>IF(B465&lt;&gt;"", _xlfn.CONCAT(B465, "_", Metadata!$B$1), "")</f>
        <v/>
      </c>
    </row>
    <row r="466" spans="3:3">
      <c r="C466" s="3" t="str">
        <f>IF(B466&lt;&gt;"", _xlfn.CONCAT(B466, "_", Metadata!$B$1), "")</f>
        <v/>
      </c>
    </row>
    <row r="467" spans="3:3">
      <c r="C467" s="3" t="str">
        <f>IF(B467&lt;&gt;"", _xlfn.CONCAT(B467, "_", Metadata!$B$1), "")</f>
        <v/>
      </c>
    </row>
    <row r="468" spans="3:3">
      <c r="C468" s="3" t="str">
        <f>IF(B468&lt;&gt;"", _xlfn.CONCAT(B468, "_", Metadata!$B$1), "")</f>
        <v/>
      </c>
    </row>
    <row r="469" spans="3:3">
      <c r="C469" s="3" t="str">
        <f>IF(B469&lt;&gt;"", _xlfn.CONCAT(B469, "_", Metadata!$B$1), "")</f>
        <v/>
      </c>
    </row>
    <row r="470" spans="3:3">
      <c r="C470" s="3" t="str">
        <f>IF(B470&lt;&gt;"", _xlfn.CONCAT(B470, "_", Metadata!$B$1), "")</f>
        <v/>
      </c>
    </row>
    <row r="471" spans="3:3">
      <c r="C471" s="3" t="str">
        <f>IF(B471&lt;&gt;"", _xlfn.CONCAT(B471, "_", Metadata!$B$1), "")</f>
        <v/>
      </c>
    </row>
    <row r="472" spans="3:3">
      <c r="C472" s="3" t="str">
        <f>IF(B472&lt;&gt;"", _xlfn.CONCAT(B472, "_", Metadata!$B$1), "")</f>
        <v/>
      </c>
    </row>
    <row r="473" spans="3:3">
      <c r="C473" s="3" t="str">
        <f>IF(B473&lt;&gt;"", _xlfn.CONCAT(B473, "_", Metadata!$B$1), "")</f>
        <v/>
      </c>
    </row>
    <row r="474" spans="3:3">
      <c r="C474" s="3" t="str">
        <f>IF(B474&lt;&gt;"", _xlfn.CONCAT(B474, "_", Metadata!$B$1), "")</f>
        <v/>
      </c>
    </row>
    <row r="475" spans="3:3">
      <c r="C475" s="3" t="str">
        <f>IF(B475&lt;&gt;"", _xlfn.CONCAT(B475, "_", Metadata!$B$1), "")</f>
        <v/>
      </c>
    </row>
    <row r="476" spans="3:3">
      <c r="C476" s="3" t="str">
        <f>IF(B476&lt;&gt;"", _xlfn.CONCAT(B476, "_", Metadata!$B$1), "")</f>
        <v/>
      </c>
    </row>
    <row r="477" spans="3:3">
      <c r="C477" s="3" t="str">
        <f>IF(B477&lt;&gt;"", _xlfn.CONCAT(B477, "_", Metadata!$B$1), "")</f>
        <v/>
      </c>
    </row>
    <row r="478" spans="3:3">
      <c r="C478" s="3" t="str">
        <f>IF(B478&lt;&gt;"", _xlfn.CONCAT(B478, "_", Metadata!$B$1), "")</f>
        <v/>
      </c>
    </row>
    <row r="479" spans="3:3">
      <c r="C479" s="3" t="str">
        <f>IF(B479&lt;&gt;"", _xlfn.CONCAT(B479, "_", Metadata!$B$1), "")</f>
        <v/>
      </c>
    </row>
    <row r="480" spans="3:3">
      <c r="C480" s="3" t="str">
        <f>IF(B480&lt;&gt;"", _xlfn.CONCAT(B480, "_", Metadata!$B$1), "")</f>
        <v/>
      </c>
    </row>
    <row r="481" spans="3:3">
      <c r="C481" s="3" t="str">
        <f>IF(B481&lt;&gt;"", _xlfn.CONCAT(B481, "_", Metadata!$B$1), "")</f>
        <v/>
      </c>
    </row>
    <row r="482" spans="3:3">
      <c r="C482" s="3" t="str">
        <f>IF(B482&lt;&gt;"", _xlfn.CONCAT(B482, "_", Metadata!$B$1), "")</f>
        <v/>
      </c>
    </row>
    <row r="483" spans="3:3">
      <c r="C483" s="3" t="str">
        <f>IF(B483&lt;&gt;"", _xlfn.CONCAT(B483, "_", Metadata!$B$1), "")</f>
        <v/>
      </c>
    </row>
    <row r="484" spans="3:3">
      <c r="C484" s="3" t="str">
        <f>IF(B484&lt;&gt;"", _xlfn.CONCAT(B484, "_", Metadata!$B$1), "")</f>
        <v/>
      </c>
    </row>
    <row r="485" spans="3:3">
      <c r="C485" s="3" t="str">
        <f>IF(B485&lt;&gt;"", _xlfn.CONCAT(B485, "_", Metadata!$B$1), "")</f>
        <v/>
      </c>
    </row>
    <row r="486" spans="3:3">
      <c r="C486" s="3" t="str">
        <f>IF(B486&lt;&gt;"", _xlfn.CONCAT(B486, "_", Metadata!$B$1), "")</f>
        <v/>
      </c>
    </row>
    <row r="487" spans="3:3">
      <c r="C487" s="3" t="str">
        <f>IF(B487&lt;&gt;"", _xlfn.CONCAT(B487, "_", Metadata!$B$1), "")</f>
        <v/>
      </c>
    </row>
    <row r="488" spans="3:3">
      <c r="C488" s="3" t="str">
        <f>IF(B488&lt;&gt;"", _xlfn.CONCAT(B488, "_", Metadata!$B$1), "")</f>
        <v/>
      </c>
    </row>
    <row r="489" spans="3:3">
      <c r="C489" s="3" t="str">
        <f>IF(B489&lt;&gt;"", _xlfn.CONCAT(B489, "_", Metadata!$B$1), "")</f>
        <v/>
      </c>
    </row>
    <row r="490" spans="3:3">
      <c r="C490" s="3" t="str">
        <f>IF(B490&lt;&gt;"", _xlfn.CONCAT(B490, "_", Metadata!$B$1), "")</f>
        <v/>
      </c>
    </row>
    <row r="491" spans="3:3">
      <c r="C491" s="3" t="str">
        <f>IF(B491&lt;&gt;"", _xlfn.CONCAT(B491, "_", Metadata!$B$1), "")</f>
        <v/>
      </c>
    </row>
    <row r="492" spans="3:3">
      <c r="C492" s="3" t="str">
        <f>IF(B492&lt;&gt;"", _xlfn.CONCAT(B492, "_", Metadata!$B$1), "")</f>
        <v/>
      </c>
    </row>
    <row r="493" spans="3:3">
      <c r="C493" s="3" t="str">
        <f>IF(B493&lt;&gt;"", _xlfn.CONCAT(B493, "_", Metadata!$B$1), "")</f>
        <v/>
      </c>
    </row>
    <row r="494" spans="3:3">
      <c r="C494" s="3" t="str">
        <f>IF(B494&lt;&gt;"", _xlfn.CONCAT(B494, "_", Metadata!$B$1), "")</f>
        <v/>
      </c>
    </row>
    <row r="495" spans="3:3">
      <c r="C495" s="3" t="str">
        <f>IF(B495&lt;&gt;"", _xlfn.CONCAT(B495, "_", Metadata!$B$1), "")</f>
        <v/>
      </c>
    </row>
    <row r="496" spans="3:3">
      <c r="C496" s="3" t="str">
        <f>IF(B496&lt;&gt;"", _xlfn.CONCAT(B496, "_", Metadata!$B$1), "")</f>
        <v/>
      </c>
    </row>
    <row r="497" spans="3:3">
      <c r="C497" s="3" t="str">
        <f>IF(B497&lt;&gt;"", _xlfn.CONCAT(B497, "_", Metadata!$B$1), "")</f>
        <v/>
      </c>
    </row>
    <row r="498" spans="3:3">
      <c r="C498" s="3" t="str">
        <f>IF(B498&lt;&gt;"", _xlfn.CONCAT(B498, "_", Metadata!$B$1), "")</f>
        <v/>
      </c>
    </row>
    <row r="499" spans="3:3">
      <c r="C499" s="3" t="str">
        <f>IF(B499&lt;&gt;"", _xlfn.CONCAT(B499, "_", Metadata!$B$1), "")</f>
        <v/>
      </c>
    </row>
  </sheetData>
  <dataValidations count="7">
    <dataValidation type="list" allowBlank="1" showInputMessage="1" showErrorMessage="1" sqref="C95:C499 B2:B1048576" xr:uid="{4D989883-D507-4937-85BF-3BB22AFB0A75}">
      <formula1>Portfolio</formula1>
    </dataValidation>
    <dataValidation allowBlank="1" showInputMessage="1" showErrorMessage="1" sqref="C500:E1048576 C1:F1" xr:uid="{D546E5B1-5E44-4F24-BBE8-3E7304C50DB3}"/>
    <dataValidation type="list" allowBlank="1" showInputMessage="1" showErrorMessage="1" sqref="A2:A1048576" xr:uid="{1F4DB228-3CEE-443F-BDB8-79C8613E1BFD}">
      <formula1>_xlnm.Database</formula1>
    </dataValidation>
    <dataValidation type="list" allowBlank="1" showInputMessage="1" showErrorMessage="1" sqref="G2:K1048576" xr:uid="{AD9E2B1B-BA75-4F9B-8D5B-D6179F72E8B9}">
      <formula1>Treaty</formula1>
    </dataValidation>
    <dataValidation type="list" allowBlank="1" showInputMessage="1" showErrorMessage="1" sqref="D2:D499" xr:uid="{A2907192-9054-4C6D-94ED-8B4AF640D8E3}">
      <formula1>ModelProfiles</formula1>
    </dataValidation>
    <dataValidation type="list" allowBlank="1" showInputMessage="1" showErrorMessage="1" sqref="E2:E499" xr:uid="{4F564B1C-8448-4184-A9AD-C105CFDCF280}">
      <formula1>OutputProfiles</formula1>
    </dataValidation>
    <dataValidation type="list" allowBlank="1" showInputMessage="1" showErrorMessage="1" sqref="F2:F1048576" xr:uid="{CBEA877E-45FB-40E1-AB68-CBE5B53AA933}">
      <formula1>EventRates</formula1>
    </dataValidation>
  </dataValidation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E399B2-709A-492D-9C78-8DEC6E56CDAA}">
  <dimension ref="A1:AY97"/>
  <sheetViews>
    <sheetView tabSelected="1" topLeftCell="A56" zoomScaleNormal="100" workbookViewId="0">
      <selection activeCell="C90" sqref="C90"/>
    </sheetView>
  </sheetViews>
  <sheetFormatPr defaultColWidth="9.1796875" defaultRowHeight="13"/>
  <cols>
    <col min="1" max="1" width="51.26953125" style="3" bestFit="1" customWidth="1"/>
    <col min="2" max="4" width="28.7265625" style="3" bestFit="1" customWidth="1"/>
    <col min="5" max="5" width="28.453125" style="3" bestFit="1" customWidth="1"/>
    <col min="6" max="9" width="34.26953125" style="3" bestFit="1" customWidth="1"/>
    <col min="10" max="10" width="27" style="3" bestFit="1" customWidth="1"/>
    <col min="11" max="11" width="24.81640625" style="3" bestFit="1" customWidth="1"/>
    <col min="12" max="12" width="26.7265625" style="3" bestFit="1" customWidth="1"/>
    <col min="13" max="13" width="24.7265625" style="3" bestFit="1" customWidth="1"/>
    <col min="14" max="14" width="27.26953125" style="3" bestFit="1" customWidth="1"/>
    <col min="15" max="15" width="28.453125" style="3" bestFit="1" customWidth="1"/>
    <col min="16" max="16" width="26.1796875" style="3" bestFit="1" customWidth="1"/>
    <col min="17" max="17" width="24.1796875" style="3" bestFit="1" customWidth="1"/>
    <col min="18" max="16384" width="9.1796875" style="3"/>
  </cols>
  <sheetData>
    <row r="1" spans="1:51">
      <c r="A1" s="4" t="s">
        <v>243</v>
      </c>
      <c r="B1" s="4" t="s">
        <v>244</v>
      </c>
      <c r="C1" s="4" t="s">
        <v>245</v>
      </c>
      <c r="D1" s="4" t="s">
        <v>246</v>
      </c>
      <c r="E1" s="4" t="s">
        <v>247</v>
      </c>
      <c r="F1" s="4" t="s">
        <v>248</v>
      </c>
      <c r="G1" s="4" t="s">
        <v>249</v>
      </c>
      <c r="H1" s="4" t="s">
        <v>250</v>
      </c>
      <c r="I1" s="4" t="s">
        <v>251</v>
      </c>
      <c r="J1" s="4" t="s">
        <v>252</v>
      </c>
      <c r="K1" s="4" t="s">
        <v>253</v>
      </c>
      <c r="L1" s="4" t="s">
        <v>254</v>
      </c>
      <c r="M1" s="4" t="s">
        <v>255</v>
      </c>
      <c r="N1" s="4" t="s">
        <v>256</v>
      </c>
      <c r="O1" s="4" t="s">
        <v>257</v>
      </c>
      <c r="P1" s="4" t="s">
        <v>258</v>
      </c>
      <c r="Q1" s="4" t="s">
        <v>259</v>
      </c>
      <c r="R1" s="4" t="s">
        <v>260</v>
      </c>
      <c r="S1" s="4" t="s">
        <v>261</v>
      </c>
      <c r="T1" s="4" t="s">
        <v>262</v>
      </c>
      <c r="U1" s="4" t="s">
        <v>263</v>
      </c>
      <c r="V1" s="4" t="s">
        <v>264</v>
      </c>
      <c r="W1" s="4" t="s">
        <v>265</v>
      </c>
      <c r="X1" s="4" t="s">
        <v>266</v>
      </c>
      <c r="Y1" s="4" t="s">
        <v>267</v>
      </c>
      <c r="Z1" s="4" t="s">
        <v>268</v>
      </c>
      <c r="AA1" s="4" t="s">
        <v>269</v>
      </c>
      <c r="AB1" s="4" t="s">
        <v>270</v>
      </c>
      <c r="AC1" s="4" t="s">
        <v>271</v>
      </c>
      <c r="AD1" s="4" t="s">
        <v>272</v>
      </c>
      <c r="AE1" s="4" t="s">
        <v>273</v>
      </c>
      <c r="AF1" s="4" t="s">
        <v>274</v>
      </c>
      <c r="AG1" s="4" t="s">
        <v>275</v>
      </c>
      <c r="AH1" s="4" t="s">
        <v>276</v>
      </c>
      <c r="AI1" s="4" t="s">
        <v>277</v>
      </c>
      <c r="AJ1" s="4" t="s">
        <v>278</v>
      </c>
      <c r="AK1" s="4" t="s">
        <v>279</v>
      </c>
      <c r="AL1" s="4" t="s">
        <v>280</v>
      </c>
      <c r="AM1" s="4" t="s">
        <v>281</v>
      </c>
      <c r="AN1" s="4" t="s">
        <v>282</v>
      </c>
      <c r="AO1" s="4" t="s">
        <v>283</v>
      </c>
      <c r="AP1" s="4" t="s">
        <v>284</v>
      </c>
      <c r="AQ1" s="4" t="s">
        <v>285</v>
      </c>
      <c r="AR1" s="4" t="s">
        <v>286</v>
      </c>
      <c r="AS1" s="4" t="s">
        <v>287</v>
      </c>
      <c r="AT1" s="4" t="s">
        <v>288</v>
      </c>
      <c r="AU1" s="4" t="s">
        <v>289</v>
      </c>
      <c r="AV1" s="4" t="s">
        <v>290</v>
      </c>
      <c r="AW1" s="4" t="s">
        <v>291</v>
      </c>
      <c r="AX1" s="4" t="s">
        <v>292</v>
      </c>
      <c r="AY1" s="4" t="s">
        <v>293</v>
      </c>
    </row>
    <row r="2" spans="1:51">
      <c r="A2" s="5" t="str">
        <f>_xlfn.CONCAT(Metadata!$B$1,"_USST_Geico_HIP2_Group")</f>
        <v>202503_USST_Geico_HIP2_Group</v>
      </c>
      <c r="B2" s="5" t="s">
        <v>205</v>
      </c>
      <c r="C2" s="5" t="s">
        <v>240</v>
      </c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/>
      <c r="AD2" s="5"/>
      <c r="AE2" s="5"/>
      <c r="AF2" s="5"/>
      <c r="AG2" s="5"/>
      <c r="AH2" s="5"/>
      <c r="AI2" s="5"/>
      <c r="AJ2" s="5"/>
      <c r="AK2" s="5"/>
      <c r="AL2" s="5"/>
      <c r="AM2" s="5"/>
      <c r="AN2" s="5"/>
      <c r="AO2" s="5"/>
      <c r="AP2" s="5"/>
      <c r="AQ2" s="5"/>
      <c r="AR2" s="5"/>
      <c r="AS2" s="5"/>
      <c r="AT2" s="5"/>
      <c r="AU2" s="5"/>
      <c r="AV2" s="5"/>
      <c r="AW2" s="5"/>
      <c r="AX2" s="5"/>
      <c r="AY2" s="5"/>
    </row>
    <row r="3" spans="1:51">
      <c r="A3" s="5" t="str">
        <f>_xlfn.CONCAT(Metadata!$B$1,"_USHU_LT_Manufactured_Housing_Group")</f>
        <v>202503_USHU_LT_Manufactured_Housing_Group</v>
      </c>
      <c r="B3" s="5" t="s">
        <v>186</v>
      </c>
      <c r="C3" s="5" t="s">
        <v>194</v>
      </c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  <c r="AA3" s="5"/>
      <c r="AB3" s="5"/>
      <c r="AC3" s="5"/>
      <c r="AD3" s="5"/>
      <c r="AE3" s="5"/>
      <c r="AF3" s="5"/>
      <c r="AG3" s="5"/>
      <c r="AH3" s="5"/>
      <c r="AI3" s="5"/>
      <c r="AJ3" s="5"/>
      <c r="AK3" s="5"/>
      <c r="AL3" s="5"/>
      <c r="AM3" s="5"/>
      <c r="AN3" s="5"/>
      <c r="AO3" s="5"/>
      <c r="AP3" s="5"/>
      <c r="AQ3" s="5"/>
      <c r="AR3" s="5"/>
      <c r="AS3" s="5"/>
      <c r="AT3" s="5"/>
      <c r="AU3" s="5"/>
      <c r="AV3" s="5"/>
      <c r="AW3" s="5"/>
      <c r="AX3" s="5"/>
      <c r="AY3" s="5"/>
    </row>
    <row r="4" spans="1:51">
      <c r="A4" s="5" t="str">
        <f>_xlfn.CONCAT(Metadata!$B$1,"_USHU_NT_Manufactured_Housing_Group")</f>
        <v>202503_USHU_NT_Manufactured_Housing_Group</v>
      </c>
      <c r="B4" s="5" t="s">
        <v>222</v>
      </c>
      <c r="C4" s="5" t="s">
        <v>230</v>
      </c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  <c r="AV4" s="5"/>
      <c r="AW4" s="5"/>
      <c r="AX4" s="5"/>
      <c r="AY4" s="5"/>
    </row>
    <row r="5" spans="1:51">
      <c r="A5" s="5" t="str">
        <f>_xlfn.CONCAT(Metadata!$B$1,"_USHU_LT_Renters_Group")</f>
        <v>202503_USHU_LT_Renters_Group</v>
      </c>
      <c r="B5" s="5" t="s">
        <v>185</v>
      </c>
      <c r="C5" s="5" t="s">
        <v>193</v>
      </c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  <c r="AM5" s="5"/>
      <c r="AN5" s="5"/>
      <c r="AO5" s="5"/>
      <c r="AP5" s="5"/>
      <c r="AQ5" s="5"/>
      <c r="AR5" s="5"/>
      <c r="AS5" s="5"/>
      <c r="AT5" s="5"/>
      <c r="AU5" s="5"/>
      <c r="AV5" s="5"/>
      <c r="AW5" s="5"/>
      <c r="AX5" s="5"/>
      <c r="AY5" s="5"/>
    </row>
    <row r="6" spans="1:51">
      <c r="A6" s="5" t="str">
        <f>_xlfn.CONCAT(Metadata!$B$1,"_USHU_NT_Renters_Group")</f>
        <v>202503_USHU_NT_Renters_Group</v>
      </c>
      <c r="B6" s="5" t="s">
        <v>221</v>
      </c>
      <c r="C6" s="5" t="s">
        <v>229</v>
      </c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  <c r="AD6" s="5"/>
      <c r="AE6" s="5"/>
      <c r="AF6" s="5"/>
      <c r="AG6" s="5"/>
      <c r="AH6" s="5"/>
      <c r="AI6" s="5"/>
      <c r="AJ6" s="5"/>
      <c r="AK6" s="5"/>
      <c r="AL6" s="5"/>
      <c r="AM6" s="5"/>
      <c r="AN6" s="5"/>
      <c r="AO6" s="5"/>
      <c r="AP6" s="5"/>
      <c r="AQ6" s="5"/>
      <c r="AR6" s="5"/>
      <c r="AS6" s="5"/>
      <c r="AT6" s="5"/>
      <c r="AU6" s="5"/>
      <c r="AV6" s="5"/>
      <c r="AW6" s="5"/>
      <c r="AX6" s="5"/>
      <c r="AY6" s="5"/>
    </row>
    <row r="7" spans="1:51">
      <c r="A7" s="5" t="str">
        <f>_xlfn.CONCAT(Metadata!$B$1,"_USHU_LT_Other_Group")</f>
        <v>202503_USHU_LT_Other_Group</v>
      </c>
      <c r="B7" s="5" t="s">
        <v>184</v>
      </c>
      <c r="C7" s="5" t="s">
        <v>190</v>
      </c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</row>
    <row r="8" spans="1:51">
      <c r="A8" s="5" t="str">
        <f>_xlfn.CONCAT(Metadata!$B$1,"_USHU_NT_Other_Group")</f>
        <v>202503_USHU_NT_Other_Group</v>
      </c>
      <c r="B8" s="5" t="s">
        <v>220</v>
      </c>
      <c r="C8" s="5" t="s">
        <v>226</v>
      </c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</row>
    <row r="9" spans="1:51">
      <c r="A9" s="5" t="str">
        <f>_xlfn.CONCAT(Metadata!$B$1,"_USHU_LT_LendarPlaced_Group")</f>
        <v>202503_USHU_LT_LendarPlaced_Group</v>
      </c>
      <c r="B9" s="5" t="s">
        <v>187</v>
      </c>
      <c r="C9" s="5" t="s">
        <v>195</v>
      </c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</row>
    <row r="10" spans="1:51">
      <c r="A10" s="5" t="str">
        <f>_xlfn.CONCAT(Metadata!$B$1,"_USHU_NT_LendarPlaced_Group")</f>
        <v>202503_USHU_NT_LendarPlaced_Group</v>
      </c>
      <c r="B10" s="5" t="s">
        <v>223</v>
      </c>
      <c r="C10" s="5" t="s">
        <v>231</v>
      </c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</row>
    <row r="11" spans="1:51">
      <c r="A11" s="5" t="str">
        <f>_xlfn.CONCAT(Metadata!$B$1,"_NT_USHU_Group")</f>
        <v>202503_NT_USHU_Group</v>
      </c>
      <c r="B11" s="5" t="s">
        <v>216</v>
      </c>
      <c r="C11" s="5" t="s">
        <v>217</v>
      </c>
      <c r="D11" s="5" t="s">
        <v>220</v>
      </c>
      <c r="E11" s="5" t="s">
        <v>221</v>
      </c>
      <c r="F11" s="5" t="s">
        <v>222</v>
      </c>
      <c r="G11" s="5" t="s">
        <v>223</v>
      </c>
      <c r="H11" s="5" t="s">
        <v>226</v>
      </c>
      <c r="I11" s="5" t="s">
        <v>227</v>
      </c>
      <c r="J11" s="5" t="s">
        <v>228</v>
      </c>
      <c r="K11" s="5" t="s">
        <v>229</v>
      </c>
      <c r="L11" s="5" t="s">
        <v>230</v>
      </c>
      <c r="M11" s="5" t="s">
        <v>231</v>
      </c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</row>
    <row r="12" spans="1:51">
      <c r="A12" s="5" t="str">
        <f>_xlfn.CONCAT(Metadata!$B$1,"_LT_USHU_Group")</f>
        <v>202503_LT_USHU_Group</v>
      </c>
      <c r="B12" s="5" t="s">
        <v>178</v>
      </c>
      <c r="C12" s="5" t="s">
        <v>180</v>
      </c>
      <c r="D12" s="5" t="s">
        <v>184</v>
      </c>
      <c r="E12" s="5" t="s">
        <v>185</v>
      </c>
      <c r="F12" s="5" t="s">
        <v>186</v>
      </c>
      <c r="G12" s="5" t="s">
        <v>187</v>
      </c>
      <c r="H12" s="5" t="s">
        <v>190</v>
      </c>
      <c r="I12" s="5" t="s">
        <v>191</v>
      </c>
      <c r="J12" s="5" t="s">
        <v>192</v>
      </c>
      <c r="K12" s="5" t="s">
        <v>193</v>
      </c>
      <c r="L12" s="5" t="s">
        <v>194</v>
      </c>
      <c r="M12" s="5" t="s">
        <v>195</v>
      </c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</row>
    <row r="13" spans="1:51">
      <c r="A13" s="5" t="str">
        <f>_xlfn.CONCAT(Metadata!$B$1,"_USEQ_Group")</f>
        <v>202503_USEQ_Group</v>
      </c>
      <c r="B13" s="5" t="s">
        <v>35</v>
      </c>
      <c r="C13" s="5" t="s">
        <v>36</v>
      </c>
      <c r="D13" s="5" t="s">
        <v>37</v>
      </c>
      <c r="E13" s="5" t="s">
        <v>38</v>
      </c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</row>
    <row r="14" spans="1:51">
      <c r="A14" s="5" t="str">
        <f>_xlfn.CONCAT(Metadata!$B$1,"_USFF_Group")</f>
        <v>202503_USFF_Group</v>
      </c>
      <c r="B14" s="5" t="s">
        <v>39</v>
      </c>
      <c r="C14" s="5" t="s">
        <v>41</v>
      </c>
      <c r="D14" s="5" t="s">
        <v>44</v>
      </c>
      <c r="E14" s="5" t="s">
        <v>45</v>
      </c>
      <c r="F14" s="5" t="s">
        <v>46</v>
      </c>
      <c r="G14" s="5" t="s">
        <v>47</v>
      </c>
      <c r="H14" s="5" t="s">
        <v>48</v>
      </c>
      <c r="I14" s="5" t="s">
        <v>49</v>
      </c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</row>
    <row r="15" spans="1:51">
      <c r="A15" s="5" t="str">
        <f>_xlfn.CONCAT(Metadata!$B$1,"_USWF_Group")</f>
        <v>202503_USWF_Group</v>
      </c>
      <c r="B15" s="5" t="s">
        <v>92</v>
      </c>
      <c r="C15" s="5" t="s">
        <v>93</v>
      </c>
      <c r="D15" s="5" t="s">
        <v>94</v>
      </c>
      <c r="E15" s="5" t="s">
        <v>95</v>
      </c>
      <c r="F15" s="5" t="s">
        <v>96</v>
      </c>
      <c r="G15" s="5" t="s">
        <v>97</v>
      </c>
      <c r="H15" s="5" t="s">
        <v>98</v>
      </c>
      <c r="I15" s="5" t="s">
        <v>99</v>
      </c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</row>
    <row r="16" spans="1:51">
      <c r="A16" s="5" t="str">
        <f>_xlfn.CONCAT(Metadata!$B$1,"_USST_Group")</f>
        <v>202503_USST_Group</v>
      </c>
      <c r="B16" s="5" t="s">
        <v>200</v>
      </c>
      <c r="C16" s="5" t="s">
        <v>201</v>
      </c>
      <c r="D16" s="5" t="s">
        <v>202</v>
      </c>
      <c r="E16" s="5" t="s">
        <v>203</v>
      </c>
      <c r="F16" s="5" t="s">
        <v>204</v>
      </c>
      <c r="G16" s="5" t="s">
        <v>205</v>
      </c>
      <c r="H16" s="5" t="s">
        <v>206</v>
      </c>
      <c r="I16" s="5" t="s">
        <v>207</v>
      </c>
      <c r="J16" s="5" t="s">
        <v>235</v>
      </c>
      <c r="K16" s="5" t="s">
        <v>236</v>
      </c>
      <c r="L16" s="5" t="s">
        <v>237</v>
      </c>
      <c r="M16" s="5" t="s">
        <v>238</v>
      </c>
      <c r="N16" s="5" t="s">
        <v>239</v>
      </c>
      <c r="O16" s="5" t="s">
        <v>240</v>
      </c>
      <c r="P16" s="5" t="s">
        <v>241</v>
      </c>
      <c r="Q16" s="5" t="s">
        <v>242</v>
      </c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</row>
    <row r="17" spans="1:51">
      <c r="A17" s="5" t="str">
        <f>_xlfn.CONCAT(Metadata!$B$1,"_LenderPlaced_LT_All_PerilxWFIF_Group")</f>
        <v>202503_LenderPlaced_LT_All_PerilxWFIF_Group</v>
      </c>
      <c r="B17" s="5" t="s">
        <v>159</v>
      </c>
      <c r="C17" s="5" t="s">
        <v>49</v>
      </c>
      <c r="D17" s="5" t="s">
        <v>174</v>
      </c>
      <c r="E17" s="5" t="s">
        <v>187</v>
      </c>
      <c r="F17" s="5" t="s">
        <v>195</v>
      </c>
      <c r="G17" s="5" t="s">
        <v>207</v>
      </c>
      <c r="H17" s="5" t="s">
        <v>242</v>
      </c>
      <c r="I17" s="5" t="s">
        <v>30</v>
      </c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</row>
    <row r="18" spans="1:51">
      <c r="A18" s="5" t="str">
        <f>_xlfn.CONCAT(Metadata!$B$1,"_LenderPlaced_LT_All_Peril_Group")</f>
        <v>202503_LenderPlaced_LT_All_Peril_Group</v>
      </c>
      <c r="B18" s="5" t="s">
        <v>159</v>
      </c>
      <c r="C18" s="5" t="s">
        <v>49</v>
      </c>
      <c r="D18" s="5" t="s">
        <v>174</v>
      </c>
      <c r="E18" s="5" t="s">
        <v>187</v>
      </c>
      <c r="F18" s="5" t="s">
        <v>195</v>
      </c>
      <c r="G18" s="5" t="s">
        <v>207</v>
      </c>
      <c r="H18" s="5" t="s">
        <v>242</v>
      </c>
      <c r="I18" s="5" t="s">
        <v>99</v>
      </c>
      <c r="J18" s="5" t="s">
        <v>30</v>
      </c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</row>
    <row r="19" spans="1:51">
      <c r="A19" s="5" t="str">
        <f>_xlfn.CONCAT(Metadata!$B$1,"_LenderPlacedxCB_LT_All_PerilxWFIF_Group")</f>
        <v>202503_LenderPlacedxCB_LT_All_PerilxWFIF_Group</v>
      </c>
      <c r="B19" s="5" t="s">
        <v>49</v>
      </c>
      <c r="C19" s="5" t="s">
        <v>174</v>
      </c>
      <c r="D19" s="5" t="s">
        <v>187</v>
      </c>
      <c r="E19" s="5" t="s">
        <v>195</v>
      </c>
      <c r="F19" s="5" t="s">
        <v>207</v>
      </c>
      <c r="G19" s="5" t="s">
        <v>242</v>
      </c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</row>
    <row r="20" spans="1:51">
      <c r="A20" s="5" t="str">
        <f>_xlfn.CONCAT(Metadata!$B$1,"_LenderPlacedxCB_LT_All_Peril_Group")</f>
        <v>202503_LenderPlacedxCB_LT_All_Peril_Group</v>
      </c>
      <c r="B20" s="5" t="s">
        <v>49</v>
      </c>
      <c r="C20" s="5" t="s">
        <v>174</v>
      </c>
      <c r="D20" s="5" t="s">
        <v>187</v>
      </c>
      <c r="E20" s="5" t="s">
        <v>195</v>
      </c>
      <c r="F20" s="5" t="s">
        <v>207</v>
      </c>
      <c r="G20" s="5" t="s">
        <v>242</v>
      </c>
      <c r="H20" s="5" t="s">
        <v>99</v>
      </c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</row>
    <row r="21" spans="1:51">
      <c r="A21" s="5" t="str">
        <f>_xlfn.CONCAT(Metadata!$B$1,"_Geico_HIP2_LT_All_Peril_Group")</f>
        <v>202503_Geico_HIP2_LT_All_Peril_Group</v>
      </c>
      <c r="B21" s="5" t="s">
        <v>39</v>
      </c>
      <c r="C21" s="5" t="s">
        <v>178</v>
      </c>
      <c r="D21" s="5" t="s">
        <v>205</v>
      </c>
      <c r="E21" s="5" t="s">
        <v>240</v>
      </c>
      <c r="F21" s="5" t="s">
        <v>97</v>
      </c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</row>
    <row r="22" spans="1:51">
      <c r="A22" s="5" t="str">
        <f>_xlfn.CONCAT(Metadata!$B$1,"_Geico_HIP2_LT_All_PerilxWFIF_Group")</f>
        <v>202503_Geico_HIP2_LT_All_PerilxWFIF_Group</v>
      </c>
      <c r="B22" s="5" t="s">
        <v>39</v>
      </c>
      <c r="C22" s="5" t="s">
        <v>178</v>
      </c>
      <c r="D22" s="5" t="s">
        <v>205</v>
      </c>
      <c r="E22" s="5" t="s">
        <v>240</v>
      </c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</row>
    <row r="23" spans="1:51">
      <c r="A23" s="5" t="str">
        <f>_xlfn.CONCAT(Metadata!$B$1,"_Condominium_LT_All_Peril_Group")</f>
        <v>202503_Condominium_LT_All_Peril_Group</v>
      </c>
      <c r="B23" s="5" t="s">
        <v>36</v>
      </c>
      <c r="C23" s="5" t="s">
        <v>46</v>
      </c>
      <c r="D23" s="5" t="s">
        <v>192</v>
      </c>
      <c r="E23" s="5" t="s">
        <v>202</v>
      </c>
      <c r="F23" s="5" t="s">
        <v>237</v>
      </c>
      <c r="G23" s="5" t="s">
        <v>94</v>
      </c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</row>
    <row r="24" spans="1:51">
      <c r="A24" s="5" t="str">
        <f>_xlfn.CONCAT(Metadata!$B$1,"_Condominium_LT_All_PerilxWFIF_Group")</f>
        <v>202503_Condominium_LT_All_PerilxWFIF_Group</v>
      </c>
      <c r="B24" s="5" t="s">
        <v>36</v>
      </c>
      <c r="C24" s="5" t="s">
        <v>46</v>
      </c>
      <c r="D24" s="5" t="s">
        <v>192</v>
      </c>
      <c r="E24" s="5" t="s">
        <v>202</v>
      </c>
      <c r="F24" s="5" t="s">
        <v>237</v>
      </c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</row>
    <row r="25" spans="1:51">
      <c r="A25" s="5" t="str">
        <f>_xlfn.CONCAT(Metadata!$B$1,"_Geico_HIP1_LT_All_Peril_Group")</f>
        <v>202503_Geico_HIP1_LT_All_Peril_Group</v>
      </c>
      <c r="B25" s="5" t="s">
        <v>41</v>
      </c>
      <c r="C25" s="5" t="s">
        <v>180</v>
      </c>
      <c r="D25" s="5" t="s">
        <v>206</v>
      </c>
      <c r="E25" s="5" t="s">
        <v>241</v>
      </c>
      <c r="F25" s="5" t="s">
        <v>98</v>
      </c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</row>
    <row r="26" spans="1:51" ht="12" customHeight="1">
      <c r="A26" s="5" t="str">
        <f>_xlfn.CONCAT(Metadata!$B$1,"_Geico_HIP1_LT_All_PerilxWFIF_Group")</f>
        <v>202503_Geico_HIP1_LT_All_PerilxWFIF_Group</v>
      </c>
      <c r="B26" s="5" t="s">
        <v>41</v>
      </c>
      <c r="C26" s="5" t="s">
        <v>180</v>
      </c>
      <c r="D26" s="5" t="s">
        <v>206</v>
      </c>
      <c r="E26" s="5" t="s">
        <v>241</v>
      </c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</row>
    <row r="27" spans="1:51">
      <c r="A27" s="5" t="str">
        <f>_xlfn.CONCAT(Metadata!$B$1,"_Renters_LT_All_Peril_Group")</f>
        <v>202503_Renters_LT_All_Peril_Group</v>
      </c>
      <c r="B27" s="5" t="s">
        <v>37</v>
      </c>
      <c r="C27" s="5" t="s">
        <v>47</v>
      </c>
      <c r="D27" s="5" t="s">
        <v>172</v>
      </c>
      <c r="E27" s="5" t="s">
        <v>185</v>
      </c>
      <c r="F27" s="5" t="s">
        <v>193</v>
      </c>
      <c r="G27" s="5" t="s">
        <v>203</v>
      </c>
      <c r="H27" s="5" t="s">
        <v>238</v>
      </c>
      <c r="I27" s="5" t="s">
        <v>95</v>
      </c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</row>
    <row r="28" spans="1:51">
      <c r="A28" s="5" t="str">
        <f>_xlfn.CONCAT(Metadata!$B$1,"_Renters_LT_All_PerilxWFIF_Group")</f>
        <v>202503_Renters_LT_All_PerilxWFIF_Group</v>
      </c>
      <c r="B28" s="5" t="s">
        <v>37</v>
      </c>
      <c r="C28" s="5" t="s">
        <v>47</v>
      </c>
      <c r="D28" s="5" t="s">
        <v>172</v>
      </c>
      <c r="E28" s="5" t="s">
        <v>185</v>
      </c>
      <c r="F28" s="5" t="s">
        <v>193</v>
      </c>
      <c r="G28" s="5" t="s">
        <v>203</v>
      </c>
      <c r="H28" s="5" t="s">
        <v>238</v>
      </c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</row>
    <row r="29" spans="1:51">
      <c r="A29" s="5" t="str">
        <f>_xlfn.CONCAT(Metadata!$B$1,"_Choice_First_Select_LT_All_Peril_Group")</f>
        <v>202503_Choice_First_Select_LT_All_Peril_Group</v>
      </c>
      <c r="B29" s="5" t="s">
        <v>35</v>
      </c>
      <c r="C29" s="5" t="s">
        <v>45</v>
      </c>
      <c r="D29" s="5" t="s">
        <v>191</v>
      </c>
      <c r="E29" s="5" t="s">
        <v>201</v>
      </c>
      <c r="F29" s="5" t="s">
        <v>236</v>
      </c>
      <c r="G29" s="5" t="s">
        <v>93</v>
      </c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</row>
    <row r="30" spans="1:51">
      <c r="A30" s="5" t="str">
        <f>_xlfn.CONCAT(Metadata!$B$1,"_Choice_First_Select_LT_All_PerilxWFIF_Group")</f>
        <v>202503_Choice_First_Select_LT_All_PerilxWFIF_Group</v>
      </c>
      <c r="B30" s="5" t="s">
        <v>35</v>
      </c>
      <c r="C30" s="5" t="s">
        <v>45</v>
      </c>
      <c r="D30" s="5" t="s">
        <v>191</v>
      </c>
      <c r="E30" s="5" t="s">
        <v>201</v>
      </c>
      <c r="F30" s="5" t="s">
        <v>236</v>
      </c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</row>
    <row r="31" spans="1:51">
      <c r="A31" s="5" t="str">
        <f>_xlfn.CONCAT(Metadata!$B$1,"_Manufactured_Housing_LT_All_Peril_Group")</f>
        <v>202503_Manufactured_Housing_LT_All_Peril_Group</v>
      </c>
      <c r="B31" s="5" t="s">
        <v>38</v>
      </c>
      <c r="C31" s="5" t="s">
        <v>48</v>
      </c>
      <c r="D31" s="5" t="s">
        <v>173</v>
      </c>
      <c r="E31" s="5" t="s">
        <v>186</v>
      </c>
      <c r="F31" s="5" t="s">
        <v>194</v>
      </c>
      <c r="G31" s="5" t="s">
        <v>204</v>
      </c>
      <c r="H31" s="5" t="s">
        <v>239</v>
      </c>
      <c r="I31" s="5" t="s">
        <v>96</v>
      </c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</row>
    <row r="32" spans="1:51">
      <c r="A32" s="5" t="str">
        <f>_xlfn.CONCAT(Metadata!$B$1,"_Manufactured_Housing_LT_All_PerilxWFIF_Group")</f>
        <v>202503_Manufactured_Housing_LT_All_PerilxWFIF_Group</v>
      </c>
      <c r="B32" s="5" t="s">
        <v>38</v>
      </c>
      <c r="C32" s="5" t="s">
        <v>48</v>
      </c>
      <c r="D32" s="5" t="s">
        <v>173</v>
      </c>
      <c r="E32" s="5" t="s">
        <v>186</v>
      </c>
      <c r="F32" s="5" t="s">
        <v>194</v>
      </c>
      <c r="G32" s="5" t="s">
        <v>204</v>
      </c>
      <c r="H32" s="5" t="s">
        <v>239</v>
      </c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</row>
    <row r="33" spans="1:51">
      <c r="A33" s="5" t="str">
        <f>_xlfn.CONCAT(Metadata!$B$1,"_Other_LT_All_Peril_Group")</f>
        <v>202503_Other_LT_All_Peril_Group</v>
      </c>
      <c r="B33" s="5" t="s">
        <v>44</v>
      </c>
      <c r="C33" s="5" t="s">
        <v>170</v>
      </c>
      <c r="D33" s="5" t="s">
        <v>184</v>
      </c>
      <c r="E33" s="5" t="s">
        <v>190</v>
      </c>
      <c r="F33" s="5" t="s">
        <v>200</v>
      </c>
      <c r="G33" s="5" t="s">
        <v>235</v>
      </c>
      <c r="H33" s="5" t="s">
        <v>92</v>
      </c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</row>
    <row r="34" spans="1:51">
      <c r="A34" s="5" t="str">
        <f>_xlfn.CONCAT(Metadata!$B$1,"_Other_LT_All_PerilxWFIF_Group")</f>
        <v>202503_Other_LT_All_PerilxWFIF_Group</v>
      </c>
      <c r="B34" s="5" t="s">
        <v>44</v>
      </c>
      <c r="C34" s="5" t="s">
        <v>170</v>
      </c>
      <c r="D34" s="5" t="s">
        <v>184</v>
      </c>
      <c r="E34" s="5" t="s">
        <v>190</v>
      </c>
      <c r="F34" s="5" t="s">
        <v>200</v>
      </c>
      <c r="G34" s="5" t="s">
        <v>235</v>
      </c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</row>
    <row r="35" spans="1:51">
      <c r="A35" s="5" t="str">
        <f>_xlfn.CONCAT(Metadata!$B$1,"_LenderPlaced_NT_All_PerilxWFIF_Group")</f>
        <v>202503_LenderPlaced_NT_All_PerilxWFIF_Group</v>
      </c>
      <c r="B35" s="5" t="s">
        <v>163</v>
      </c>
      <c r="C35" s="5" t="s">
        <v>49</v>
      </c>
      <c r="D35" s="5" t="s">
        <v>212</v>
      </c>
      <c r="E35" s="5" t="s">
        <v>207</v>
      </c>
      <c r="F35" s="5" t="s">
        <v>223</v>
      </c>
      <c r="G35" s="5" t="s">
        <v>231</v>
      </c>
      <c r="H35" s="5" t="s">
        <v>242</v>
      </c>
      <c r="I35" s="5" t="s">
        <v>30</v>
      </c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</row>
    <row r="36" spans="1:51">
      <c r="A36" s="5" t="str">
        <f>_xlfn.CONCAT(Metadata!$B$1,"_LenderPlaced_NT_All_Peril_Group")</f>
        <v>202503_LenderPlaced_NT_All_Peril_Group</v>
      </c>
      <c r="B36" s="5" t="s">
        <v>163</v>
      </c>
      <c r="C36" s="5" t="s">
        <v>49</v>
      </c>
      <c r="D36" s="5" t="s">
        <v>212</v>
      </c>
      <c r="E36" s="5" t="s">
        <v>207</v>
      </c>
      <c r="F36" s="5" t="s">
        <v>223</v>
      </c>
      <c r="G36" s="5" t="s">
        <v>231</v>
      </c>
      <c r="H36" s="5" t="s">
        <v>242</v>
      </c>
      <c r="I36" s="5" t="s">
        <v>99</v>
      </c>
      <c r="J36" s="5" t="s">
        <v>30</v>
      </c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</row>
    <row r="37" spans="1:51">
      <c r="A37" s="5" t="str">
        <f>_xlfn.CONCAT(Metadata!$B$1,"_LenderPlacedxCB_NT_All_PerilxWFIF_Group")</f>
        <v>202503_LenderPlacedxCB_NT_All_PerilxWFIF_Group</v>
      </c>
      <c r="B37" s="5" t="s">
        <v>49</v>
      </c>
      <c r="C37" s="5" t="s">
        <v>212</v>
      </c>
      <c r="D37" s="5" t="s">
        <v>207</v>
      </c>
      <c r="E37" s="5" t="s">
        <v>223</v>
      </c>
      <c r="F37" s="5" t="s">
        <v>231</v>
      </c>
      <c r="G37" s="5" t="s">
        <v>242</v>
      </c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</row>
    <row r="38" spans="1:51">
      <c r="A38" s="5" t="str">
        <f>_xlfn.CONCAT(Metadata!$B$1,"_LenderPlacedxCB_NT_All_Peril_Group")</f>
        <v>202503_LenderPlacedxCB_NT_All_Peril_Group</v>
      </c>
      <c r="B38" s="5" t="s">
        <v>49</v>
      </c>
      <c r="C38" s="5" t="s">
        <v>212</v>
      </c>
      <c r="D38" s="5" t="s">
        <v>207</v>
      </c>
      <c r="E38" s="5" t="s">
        <v>223</v>
      </c>
      <c r="F38" s="5" t="s">
        <v>231</v>
      </c>
      <c r="G38" s="5" t="s">
        <v>242</v>
      </c>
      <c r="H38" s="5" t="s">
        <v>99</v>
      </c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</row>
    <row r="39" spans="1:51">
      <c r="A39" s="5" t="str">
        <f>_xlfn.CONCAT(Metadata!$B$1,"_Geico_HIP2_NT_All_Peril_Group")</f>
        <v>202503_Geico_HIP2_NT_All_Peril_Group</v>
      </c>
      <c r="B39" s="5" t="s">
        <v>39</v>
      </c>
      <c r="C39" s="5" t="s">
        <v>205</v>
      </c>
      <c r="D39" s="5" t="s">
        <v>216</v>
      </c>
      <c r="E39" s="5" t="s">
        <v>240</v>
      </c>
      <c r="F39" s="5" t="s">
        <v>97</v>
      </c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</row>
    <row r="40" spans="1:51">
      <c r="A40" s="5" t="str">
        <f>_xlfn.CONCAT(Metadata!$B$1,"_Geico_HIP2_NT_All_PerilxWFIF_Group")</f>
        <v>202503_Geico_HIP2_NT_All_PerilxWFIF_Group</v>
      </c>
      <c r="B40" s="5" t="s">
        <v>39</v>
      </c>
      <c r="C40" s="5" t="s">
        <v>205</v>
      </c>
      <c r="D40" s="5" t="s">
        <v>216</v>
      </c>
      <c r="E40" s="5" t="s">
        <v>240</v>
      </c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</row>
    <row r="41" spans="1:51">
      <c r="A41" s="5" t="str">
        <f>_xlfn.CONCAT(Metadata!$B$1,"_Condominium_NT_All_PerilxWFIF_Group")</f>
        <v>202503_Condominium_NT_All_PerilxWFIF_Group</v>
      </c>
      <c r="B41" s="5" t="s">
        <v>36</v>
      </c>
      <c r="C41" s="5" t="s">
        <v>46</v>
      </c>
      <c r="D41" s="5" t="s">
        <v>202</v>
      </c>
      <c r="E41" s="5" t="s">
        <v>228</v>
      </c>
      <c r="F41" s="5" t="s">
        <v>237</v>
      </c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</row>
    <row r="42" spans="1:51">
      <c r="A42" s="5" t="str">
        <f>_xlfn.CONCAT(Metadata!$B$1,"_Condominium_NT_All_Peril_Group")</f>
        <v>202503_Condominium_NT_All_Peril_Group</v>
      </c>
      <c r="B42" s="5" t="s">
        <v>36</v>
      </c>
      <c r="C42" s="5" t="s">
        <v>46</v>
      </c>
      <c r="D42" s="5" t="s">
        <v>202</v>
      </c>
      <c r="E42" s="5" t="s">
        <v>228</v>
      </c>
      <c r="F42" s="5" t="s">
        <v>237</v>
      </c>
      <c r="G42" s="5" t="s">
        <v>94</v>
      </c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</row>
    <row r="43" spans="1:51">
      <c r="A43" s="5" t="str">
        <f>_xlfn.CONCAT(Metadata!$B$1,"_Geico_HIP1_NT_All_Peril_Group")</f>
        <v>202503_Geico_HIP1_NT_All_Peril_Group</v>
      </c>
      <c r="B43" s="5" t="s">
        <v>41</v>
      </c>
      <c r="C43" s="5" t="s">
        <v>206</v>
      </c>
      <c r="D43" s="5" t="s">
        <v>217</v>
      </c>
      <c r="E43" s="5" t="s">
        <v>241</v>
      </c>
      <c r="F43" s="5" t="s">
        <v>98</v>
      </c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</row>
    <row r="44" spans="1:51">
      <c r="A44" s="5" t="str">
        <f>_xlfn.CONCAT(Metadata!$B$1,"_Geico_HIP1_NT_All_PerilxWFIF_Group")</f>
        <v>202503_Geico_HIP1_NT_All_PerilxWFIF_Group</v>
      </c>
      <c r="B44" s="5" t="s">
        <v>41</v>
      </c>
      <c r="C44" s="5" t="s">
        <v>206</v>
      </c>
      <c r="D44" s="5" t="s">
        <v>217</v>
      </c>
      <c r="E44" s="5" t="s">
        <v>241</v>
      </c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</row>
    <row r="45" spans="1:51">
      <c r="A45" s="5" t="str">
        <f>_xlfn.CONCAT(Metadata!$B$1,"_Renters_NT_All_Peril_Group")</f>
        <v>202503_Renters_NT_All_Peril_Group</v>
      </c>
      <c r="B45" s="5" t="s">
        <v>37</v>
      </c>
      <c r="C45" s="5" t="s">
        <v>47</v>
      </c>
      <c r="D45" s="5" t="s">
        <v>210</v>
      </c>
      <c r="E45" s="5" t="s">
        <v>203</v>
      </c>
      <c r="F45" s="5" t="s">
        <v>221</v>
      </c>
      <c r="G45" s="5" t="s">
        <v>229</v>
      </c>
      <c r="H45" s="5" t="s">
        <v>238</v>
      </c>
      <c r="I45" s="5" t="s">
        <v>95</v>
      </c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</row>
    <row r="46" spans="1:51">
      <c r="A46" s="5" t="str">
        <f>_xlfn.CONCAT(Metadata!$B$1,"_Renters_NT_All_PerilxWFIF_Group")</f>
        <v>202503_Renters_NT_All_PerilxWFIF_Group</v>
      </c>
      <c r="B46" s="5" t="s">
        <v>37</v>
      </c>
      <c r="C46" s="5" t="s">
        <v>47</v>
      </c>
      <c r="D46" s="5" t="s">
        <v>210</v>
      </c>
      <c r="E46" s="5" t="s">
        <v>203</v>
      </c>
      <c r="F46" s="5" t="s">
        <v>221</v>
      </c>
      <c r="G46" s="5" t="s">
        <v>229</v>
      </c>
      <c r="H46" s="5" t="s">
        <v>238</v>
      </c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</row>
    <row r="47" spans="1:51">
      <c r="A47" s="5" t="str">
        <f>_xlfn.CONCAT(Metadata!$B$1,"_Choice_First_Select_NT_All_Peril_Group")</f>
        <v>202503_Choice_First_Select_NT_All_Peril_Group</v>
      </c>
      <c r="B47" s="5" t="s">
        <v>35</v>
      </c>
      <c r="C47" s="5" t="s">
        <v>45</v>
      </c>
      <c r="D47" s="5" t="s">
        <v>201</v>
      </c>
      <c r="E47" s="5" t="s">
        <v>227</v>
      </c>
      <c r="F47" s="5" t="s">
        <v>236</v>
      </c>
      <c r="G47" s="5" t="s">
        <v>93</v>
      </c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</row>
    <row r="48" spans="1:51">
      <c r="A48" s="5" t="str">
        <f>_xlfn.CONCAT(Metadata!$B$1,"_Choice_First_Select_NT_All_PerilxWFIF_Group")</f>
        <v>202503_Choice_First_Select_NT_All_PerilxWFIF_Group</v>
      </c>
      <c r="B48" s="5" t="s">
        <v>35</v>
      </c>
      <c r="C48" s="5" t="s">
        <v>45</v>
      </c>
      <c r="D48" s="5" t="s">
        <v>201</v>
      </c>
      <c r="E48" s="5" t="s">
        <v>227</v>
      </c>
      <c r="F48" s="5" t="s">
        <v>236</v>
      </c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</row>
    <row r="49" spans="1:51">
      <c r="A49" s="5" t="str">
        <f>_xlfn.CONCAT(Metadata!$B$1,"_Manufactured_Housing_NT_All_Peril_Group")</f>
        <v>202503_Manufactured_Housing_NT_All_Peril_Group</v>
      </c>
      <c r="B49" s="5" t="s">
        <v>38</v>
      </c>
      <c r="C49" s="5" t="s">
        <v>48</v>
      </c>
      <c r="D49" s="5" t="s">
        <v>211</v>
      </c>
      <c r="E49" s="5" t="s">
        <v>204</v>
      </c>
      <c r="F49" s="5" t="s">
        <v>222</v>
      </c>
      <c r="G49" s="5" t="s">
        <v>230</v>
      </c>
      <c r="H49" s="5" t="s">
        <v>239</v>
      </c>
      <c r="I49" s="5" t="s">
        <v>96</v>
      </c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</row>
    <row r="50" spans="1:51">
      <c r="A50" s="5" t="str">
        <f>_xlfn.CONCAT(Metadata!$B$1,"_Manufactured_Housing_NT_All_PerilxWFIF_Group")</f>
        <v>202503_Manufactured_Housing_NT_All_PerilxWFIF_Group</v>
      </c>
      <c r="B50" s="5" t="s">
        <v>38</v>
      </c>
      <c r="C50" s="5" t="s">
        <v>48</v>
      </c>
      <c r="D50" s="5" t="s">
        <v>211</v>
      </c>
      <c r="E50" s="5" t="s">
        <v>204</v>
      </c>
      <c r="F50" s="5" t="s">
        <v>222</v>
      </c>
      <c r="G50" s="5" t="s">
        <v>230</v>
      </c>
      <c r="H50" s="5" t="s">
        <v>239</v>
      </c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</row>
    <row r="51" spans="1:51">
      <c r="A51" s="5" t="str">
        <f>_xlfn.CONCAT(Metadata!$B$1,"_Other_NT_All_Peril_Group")</f>
        <v>202503_Other_NT_All_Peril_Group</v>
      </c>
      <c r="B51" s="5" t="s">
        <v>44</v>
      </c>
      <c r="C51" s="5" t="s">
        <v>208</v>
      </c>
      <c r="D51" s="5" t="s">
        <v>200</v>
      </c>
      <c r="E51" s="5" t="s">
        <v>220</v>
      </c>
      <c r="F51" s="5" t="s">
        <v>226</v>
      </c>
      <c r="G51" s="5" t="s">
        <v>235</v>
      </c>
      <c r="H51" s="5" t="s">
        <v>92</v>
      </c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</row>
    <row r="52" spans="1:51">
      <c r="A52" s="5" t="str">
        <f>_xlfn.CONCAT(Metadata!$B$1,"_Other_NT_All_PerilxWFIF_Group")</f>
        <v>202503_Other_NT_All_PerilxWFIF_Group</v>
      </c>
      <c r="B52" s="5" t="s">
        <v>44</v>
      </c>
      <c r="C52" s="5" t="s">
        <v>208</v>
      </c>
      <c r="D52" s="5" t="s">
        <v>200</v>
      </c>
      <c r="E52" s="5" t="s">
        <v>220</v>
      </c>
      <c r="F52" s="5" t="s">
        <v>226</v>
      </c>
      <c r="G52" s="5" t="s">
        <v>235</v>
      </c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</row>
    <row r="53" spans="1:51">
      <c r="A53" s="5" t="str">
        <f>_xlfn.CONCAT(Metadata!$B$1,"_USHU_LT_Clay_Group")</f>
        <v>202503_USHU_LT_Clay_Group</v>
      </c>
      <c r="B53" s="5" t="s">
        <v>181</v>
      </c>
      <c r="C53" s="5" t="s">
        <v>183</v>
      </c>
      <c r="D53" s="5" t="s">
        <v>188</v>
      </c>
      <c r="E53" s="5" t="s">
        <v>189</v>
      </c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</row>
    <row r="54" spans="1:51">
      <c r="A54" s="5" t="str">
        <f>_xlfn.CONCAT(Metadata!$B$1,"_USHU_NT_Clay_Group")</f>
        <v>202503_USHU_NT_Clay_Group</v>
      </c>
      <c r="B54" s="5" t="s">
        <v>218</v>
      </c>
      <c r="C54" s="5" t="s">
        <v>219</v>
      </c>
      <c r="D54" s="5" t="s">
        <v>224</v>
      </c>
      <c r="E54" s="5" t="s">
        <v>225</v>
      </c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</row>
    <row r="55" spans="1:51">
      <c r="A55" s="5" t="str">
        <f>_xlfn.CONCAT(Metadata!$B$1,"_USHU_LT_Clay21st_Mort_Group")</f>
        <v>202503_USHU_LT_Clay21st_Mort_Group</v>
      </c>
      <c r="B55" s="5" t="s">
        <v>183</v>
      </c>
      <c r="C55" s="5" t="s">
        <v>189</v>
      </c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</row>
    <row r="56" spans="1:51">
      <c r="A56" s="5" t="str">
        <f>_xlfn.CONCAT(Metadata!$B$1,"_USHU_NT_Clay21stMort_Group")</f>
        <v>202503_USHU_NT_Clay21stMort_Group</v>
      </c>
      <c r="B56" s="5" t="s">
        <v>219</v>
      </c>
      <c r="C56" s="5" t="s">
        <v>225</v>
      </c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</row>
    <row r="57" spans="1:51">
      <c r="A57" s="5" t="str">
        <f>_xlfn.CONCAT(Metadata!$B$1,"_USHU_LT_ClayHomes_Group")</f>
        <v>202503_USHU_LT_ClayHomes_Group</v>
      </c>
      <c r="B57" s="5" t="s">
        <v>181</v>
      </c>
      <c r="C57" s="5" t="s">
        <v>188</v>
      </c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</row>
    <row r="58" spans="1:51">
      <c r="A58" s="5" t="str">
        <f>_xlfn.CONCAT(Metadata!$B$1,"_USHU_NT_ClayHomes_Group")</f>
        <v>202503_USHU_NT_ClayHomes_Group</v>
      </c>
      <c r="B58" s="5" t="s">
        <v>218</v>
      </c>
      <c r="C58" s="5" t="s">
        <v>224</v>
      </c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</row>
    <row r="59" spans="1:51">
      <c r="A59" s="5" t="str">
        <f>_xlfn.CONCAT(Metadata!$B$1,"_Clay_NT_All_Peril_Group")</f>
        <v>202503_Clay_NT_All_Peril_Group</v>
      </c>
      <c r="B59" s="5" t="s">
        <v>31</v>
      </c>
      <c r="C59" s="5" t="s">
        <v>34</v>
      </c>
      <c r="D59" s="5" t="s">
        <v>42</v>
      </c>
      <c r="E59" s="5" t="s">
        <v>43</v>
      </c>
      <c r="F59" s="5" t="s">
        <v>196</v>
      </c>
      <c r="G59" s="5" t="s">
        <v>199</v>
      </c>
      <c r="H59" s="5" t="s">
        <v>218</v>
      </c>
      <c r="I59" s="5" t="s">
        <v>219</v>
      </c>
      <c r="J59" s="5" t="s">
        <v>224</v>
      </c>
      <c r="K59" s="5" t="s">
        <v>225</v>
      </c>
      <c r="L59" s="5" t="s">
        <v>232</v>
      </c>
      <c r="M59" s="5" t="s">
        <v>234</v>
      </c>
      <c r="N59" s="5" t="s">
        <v>89</v>
      </c>
      <c r="O59" s="5" t="s">
        <v>91</v>
      </c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</row>
    <row r="60" spans="1:51">
      <c r="A60" s="5" t="str">
        <f>_xlfn.CONCAT(Metadata!$B$1,"_Clay_NT_All_PerilxWFIF_Group")</f>
        <v>202503_Clay_NT_All_PerilxWFIF_Group</v>
      </c>
      <c r="B60" s="5" t="s">
        <v>31</v>
      </c>
      <c r="C60" s="5" t="s">
        <v>34</v>
      </c>
      <c r="D60" s="5" t="s">
        <v>42</v>
      </c>
      <c r="E60" s="5" t="s">
        <v>43</v>
      </c>
      <c r="F60" s="5" t="s">
        <v>196</v>
      </c>
      <c r="G60" s="5" t="s">
        <v>199</v>
      </c>
      <c r="H60" s="5" t="s">
        <v>218</v>
      </c>
      <c r="I60" s="5" t="s">
        <v>219</v>
      </c>
      <c r="J60" s="5" t="s">
        <v>224</v>
      </c>
      <c r="K60" s="5" t="s">
        <v>225</v>
      </c>
      <c r="L60" s="5" t="s">
        <v>232</v>
      </c>
      <c r="M60" s="5" t="s">
        <v>234</v>
      </c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</row>
    <row r="61" spans="1:51">
      <c r="A61" s="5" t="str">
        <f>_xlfn.CONCAT(Metadata!$B$1,"_Clay21st_Mort_NT_All_Peril_Group")</f>
        <v>202503_Clay21st_Mort_NT_All_Peril_Group</v>
      </c>
      <c r="B61" s="5" t="s">
        <v>34</v>
      </c>
      <c r="C61" s="5" t="s">
        <v>43</v>
      </c>
      <c r="D61" s="5" t="s">
        <v>199</v>
      </c>
      <c r="E61" s="5" t="s">
        <v>219</v>
      </c>
      <c r="F61" s="5" t="s">
        <v>225</v>
      </c>
      <c r="G61" s="5" t="s">
        <v>234</v>
      </c>
      <c r="H61" s="5" t="s">
        <v>91</v>
      </c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</row>
    <row r="62" spans="1:51">
      <c r="A62" s="5" t="str">
        <f>_xlfn.CONCAT(Metadata!$B$1,"_Clay21st_Mort_NT_All_PerilxWFIF_Group")</f>
        <v>202503_Clay21st_Mort_NT_All_PerilxWFIF_Group</v>
      </c>
      <c r="B62" s="5" t="s">
        <v>34</v>
      </c>
      <c r="C62" s="5" t="s">
        <v>43</v>
      </c>
      <c r="D62" s="5" t="s">
        <v>199</v>
      </c>
      <c r="E62" s="5" t="s">
        <v>219</v>
      </c>
      <c r="F62" s="5" t="s">
        <v>225</v>
      </c>
      <c r="G62" s="5" t="s">
        <v>234</v>
      </c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</row>
    <row r="63" spans="1:51">
      <c r="A63" s="5" t="str">
        <f>_xlfn.CONCAT(Metadata!$B$1,"_ClayHomes_NT_All_Peril_Group")</f>
        <v>202503_ClayHomes_NT_All_Peril_Group</v>
      </c>
      <c r="B63" s="5" t="s">
        <v>31</v>
      </c>
      <c r="C63" s="5" t="s">
        <v>42</v>
      </c>
      <c r="D63" s="5" t="s">
        <v>196</v>
      </c>
      <c r="E63" s="5" t="s">
        <v>218</v>
      </c>
      <c r="F63" s="5" t="s">
        <v>224</v>
      </c>
      <c r="G63" s="5" t="s">
        <v>232</v>
      </c>
      <c r="H63" s="5" t="s">
        <v>89</v>
      </c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</row>
    <row r="64" spans="1:51">
      <c r="A64" s="5" t="str">
        <f>_xlfn.CONCAT(Metadata!$B$1,"_ClayHomes_NT_All_PerilxWFIF_Group")</f>
        <v>202503_ClayHomes_NT_All_PerilxWFIF_Group</v>
      </c>
      <c r="B64" s="5" t="s">
        <v>31</v>
      </c>
      <c r="C64" s="5" t="s">
        <v>42</v>
      </c>
      <c r="D64" s="5" t="s">
        <v>196</v>
      </c>
      <c r="E64" s="5" t="s">
        <v>218</v>
      </c>
      <c r="F64" s="5" t="s">
        <v>224</v>
      </c>
      <c r="G64" s="5" t="s">
        <v>232</v>
      </c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  <c r="AC64" s="5"/>
      <c r="AD64" s="5"/>
      <c r="AE64" s="5"/>
      <c r="AF64" s="5"/>
      <c r="AG64" s="5"/>
      <c r="AH64" s="5"/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/>
      <c r="AT64" s="5"/>
      <c r="AU64" s="5"/>
      <c r="AV64" s="5"/>
      <c r="AW64" s="5"/>
      <c r="AX64" s="5"/>
      <c r="AY64" s="5"/>
    </row>
    <row r="65" spans="1:51">
      <c r="A65" s="5" t="str">
        <f>_xlfn.CONCAT(Metadata!$B$1,"_Clay_LT_All_Peril_Group")</f>
        <v>202503_Clay_LT_All_Peril_Group</v>
      </c>
      <c r="B65" s="5" t="s">
        <v>31</v>
      </c>
      <c r="C65" s="5" t="s">
        <v>34</v>
      </c>
      <c r="D65" s="5" t="s">
        <v>42</v>
      </c>
      <c r="E65" s="5" t="s">
        <v>43</v>
      </c>
      <c r="F65" s="5" t="s">
        <v>181</v>
      </c>
      <c r="G65" s="5" t="s">
        <v>183</v>
      </c>
      <c r="H65" s="5" t="s">
        <v>188</v>
      </c>
      <c r="I65" s="5" t="s">
        <v>189</v>
      </c>
      <c r="J65" s="5" t="s">
        <v>196</v>
      </c>
      <c r="K65" s="5" t="s">
        <v>199</v>
      </c>
      <c r="L65" s="5" t="s">
        <v>232</v>
      </c>
      <c r="M65" s="5" t="s">
        <v>234</v>
      </c>
      <c r="N65" s="5" t="s">
        <v>89</v>
      </c>
      <c r="O65" s="5" t="s">
        <v>91</v>
      </c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</row>
    <row r="66" spans="1:51">
      <c r="A66" s="5" t="str">
        <f>_xlfn.CONCAT(Metadata!$B$1,"_Clay_LT_All_PerilxWFIF_Group")</f>
        <v>202503_Clay_LT_All_PerilxWFIF_Group</v>
      </c>
      <c r="B66" s="5" t="s">
        <v>31</v>
      </c>
      <c r="C66" s="5" t="s">
        <v>34</v>
      </c>
      <c r="D66" s="5" t="s">
        <v>42</v>
      </c>
      <c r="E66" s="5" t="s">
        <v>43</v>
      </c>
      <c r="F66" s="5" t="s">
        <v>181</v>
      </c>
      <c r="G66" s="5" t="s">
        <v>183</v>
      </c>
      <c r="H66" s="5" t="s">
        <v>188</v>
      </c>
      <c r="I66" s="5" t="s">
        <v>189</v>
      </c>
      <c r="J66" s="5" t="s">
        <v>196</v>
      </c>
      <c r="K66" s="5" t="s">
        <v>199</v>
      </c>
      <c r="L66" s="5" t="s">
        <v>232</v>
      </c>
      <c r="M66" s="5" t="s">
        <v>234</v>
      </c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/>
      <c r="AY66" s="5"/>
    </row>
    <row r="67" spans="1:51">
      <c r="A67" s="5" t="str">
        <f>_xlfn.CONCAT(Metadata!$B$1,"_Clay21st_Mort_LT_All_Peril_Group")</f>
        <v>202503_Clay21st_Mort_LT_All_Peril_Group</v>
      </c>
      <c r="B67" s="5" t="s">
        <v>34</v>
      </c>
      <c r="C67" s="5" t="s">
        <v>43</v>
      </c>
      <c r="D67" s="5" t="s">
        <v>183</v>
      </c>
      <c r="E67" s="5" t="s">
        <v>189</v>
      </c>
      <c r="F67" s="5" t="s">
        <v>199</v>
      </c>
      <c r="G67" s="5" t="s">
        <v>234</v>
      </c>
      <c r="H67" s="5" t="s">
        <v>91</v>
      </c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  <c r="AC67" s="5"/>
      <c r="AD67" s="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/>
      <c r="AT67" s="5"/>
      <c r="AU67" s="5"/>
      <c r="AV67" s="5"/>
      <c r="AW67" s="5"/>
      <c r="AX67" s="5"/>
      <c r="AY67" s="5"/>
    </row>
    <row r="68" spans="1:51">
      <c r="A68" s="5" t="str">
        <f>_xlfn.CONCAT(Metadata!$B$1,"_Clay21st_Mort_LT_All_PerilxWFIF_Group")</f>
        <v>202503_Clay21st_Mort_LT_All_PerilxWFIF_Group</v>
      </c>
      <c r="B68" s="5" t="s">
        <v>34</v>
      </c>
      <c r="C68" s="5" t="s">
        <v>43</v>
      </c>
      <c r="D68" s="5" t="s">
        <v>183</v>
      </c>
      <c r="E68" s="5" t="s">
        <v>189</v>
      </c>
      <c r="F68" s="5" t="s">
        <v>199</v>
      </c>
      <c r="G68" s="5" t="s">
        <v>234</v>
      </c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/>
      <c r="AD68" s="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/>
      <c r="AY68" s="5"/>
    </row>
    <row r="69" spans="1:51">
      <c r="A69" s="5" t="str">
        <f>_xlfn.CONCAT(Metadata!$B$1,"_ClayHomes_LT_All_Peril_Group")</f>
        <v>202503_ClayHomes_LT_All_Peril_Group</v>
      </c>
      <c r="B69" s="5" t="s">
        <v>31</v>
      </c>
      <c r="C69" s="5" t="s">
        <v>42</v>
      </c>
      <c r="D69" s="5" t="s">
        <v>181</v>
      </c>
      <c r="E69" s="5" t="s">
        <v>188</v>
      </c>
      <c r="F69" s="5" t="s">
        <v>196</v>
      </c>
      <c r="G69" s="5" t="s">
        <v>232</v>
      </c>
      <c r="H69" s="5" t="s">
        <v>89</v>
      </c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</row>
    <row r="70" spans="1:51">
      <c r="A70" s="5" t="str">
        <f>_xlfn.CONCAT(Metadata!$B$1,"_ClayHomes_LT_All_PerilxWFIF_Group")</f>
        <v>202503_ClayHomes_LT_All_PerilxWFIF_Group</v>
      </c>
      <c r="B70" s="5" t="s">
        <v>31</v>
      </c>
      <c r="C70" s="5" t="s">
        <v>42</v>
      </c>
      <c r="D70" s="5" t="s">
        <v>181</v>
      </c>
      <c r="E70" s="5" t="s">
        <v>188</v>
      </c>
      <c r="F70" s="5" t="s">
        <v>196</v>
      </c>
      <c r="G70" s="5" t="s">
        <v>232</v>
      </c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  <c r="AC70" s="5"/>
      <c r="AD70" s="5"/>
      <c r="AE70" s="5"/>
      <c r="AF70" s="5"/>
      <c r="AG70" s="5"/>
      <c r="AH70" s="5"/>
      <c r="AI70" s="5"/>
      <c r="AJ70" s="5"/>
      <c r="AK70" s="5"/>
      <c r="AL70" s="5"/>
      <c r="AM70" s="5"/>
      <c r="AN70" s="5"/>
      <c r="AO70" s="5"/>
      <c r="AP70" s="5"/>
      <c r="AQ70" s="5"/>
      <c r="AR70" s="5"/>
      <c r="AS70" s="5"/>
      <c r="AT70" s="5"/>
      <c r="AU70" s="5"/>
      <c r="AV70" s="5"/>
      <c r="AW70" s="5"/>
      <c r="AX70" s="5"/>
      <c r="AY70" s="5"/>
    </row>
    <row r="71" spans="1:51">
      <c r="A71" s="5" t="str">
        <f>_xlfn.CONCAT(Metadata!$B$1,"_USFF_Clay_Group")</f>
        <v>202503_USFF_Clay_Group</v>
      </c>
      <c r="B71" s="5" t="s">
        <v>42</v>
      </c>
      <c r="C71" s="5" t="s">
        <v>43</v>
      </c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</row>
    <row r="72" spans="1:51">
      <c r="A72" s="5" t="str">
        <f>_xlfn.CONCAT(Metadata!$B$1,"_USST_Clay_Group")</f>
        <v>202503_USST_Clay_Group</v>
      </c>
      <c r="B72" s="5" t="s">
        <v>196</v>
      </c>
      <c r="C72" s="5" t="s">
        <v>199</v>
      </c>
      <c r="D72" s="5" t="s">
        <v>232</v>
      </c>
      <c r="E72" s="5" t="s">
        <v>234</v>
      </c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/>
      <c r="AD72" s="5"/>
      <c r="AE72" s="5"/>
      <c r="AF72" s="5"/>
      <c r="AG72" s="5"/>
      <c r="AH72" s="5"/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/>
      <c r="AY72" s="5"/>
    </row>
    <row r="73" spans="1:51">
      <c r="A73" s="5" t="str">
        <f>_xlfn.CONCAT(Metadata!$B$1,"_USEQ_Clay_Group")</f>
        <v>202503_USEQ_Clay_Group</v>
      </c>
      <c r="B73" s="5" t="s">
        <v>34</v>
      </c>
      <c r="C73" s="5" t="s">
        <v>31</v>
      </c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</row>
    <row r="74" spans="1:51">
      <c r="A74" s="5" t="str">
        <f>_xlfn.CONCAT(Metadata!$B$1,"_USWF_Clay_Group")</f>
        <v>202503_USWF_Clay_Group</v>
      </c>
      <c r="B74" s="5" t="s">
        <v>91</v>
      </c>
      <c r="C74" s="5" t="s">
        <v>89</v>
      </c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</row>
    <row r="75" spans="1:51">
      <c r="A75" s="5" t="str">
        <f>_xlfn.CONCAT(Metadata!$B$1,"_USFL_LT_FloodSolutions_Group")</f>
        <v>202503_USFL_LT_FloodSolutions_Group</v>
      </c>
      <c r="B75" s="5" t="s">
        <v>175</v>
      </c>
      <c r="C75" s="5" t="s">
        <v>177</v>
      </c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</row>
    <row r="76" spans="1:51">
      <c r="A76" s="5" t="str">
        <f>_xlfn.CONCAT(Metadata!$B$1,"_USFL_NT_FloodSolutions_Group")</f>
        <v>202503_USFL_NT_FloodSolutions_Group</v>
      </c>
      <c r="B76" s="5" t="s">
        <v>213</v>
      </c>
      <c r="C76" s="5" t="s">
        <v>215</v>
      </c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</row>
    <row r="77" spans="1:51" ht="12" customHeight="1">
      <c r="A77" s="5" t="str">
        <f>_xlfn.CONCAT(Metadata!$B$1,"_USFL_LT_Other_Group")</f>
        <v>202503_USFL_LT_Other_Group</v>
      </c>
      <c r="B77" s="5" t="s">
        <v>170</v>
      </c>
      <c r="C77" s="5" t="s">
        <v>172</v>
      </c>
      <c r="D77" s="5" t="s">
        <v>173</v>
      </c>
      <c r="E77" s="5" t="s">
        <v>174</v>
      </c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/>
      <c r="AD77" s="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/>
      <c r="AU77" s="5"/>
      <c r="AV77" s="5"/>
      <c r="AW77" s="5"/>
      <c r="AX77" s="5"/>
      <c r="AY77" s="5"/>
    </row>
    <row r="78" spans="1:51">
      <c r="A78" s="5" t="str">
        <f>_xlfn.CONCAT(Metadata!$B$1,"_USFL_NT_Other_Group")</f>
        <v>202503_USFL_NT_Other_Group</v>
      </c>
      <c r="B78" s="5" t="s">
        <v>208</v>
      </c>
      <c r="C78" s="5" t="s">
        <v>210</v>
      </c>
      <c r="D78" s="5" t="s">
        <v>211</v>
      </c>
      <c r="E78" s="5" t="s">
        <v>212</v>
      </c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  <c r="AC78" s="5"/>
      <c r="AD78" s="5"/>
      <c r="AE78" s="5"/>
      <c r="AF78" s="5"/>
      <c r="AG78" s="5"/>
      <c r="AH78" s="5"/>
      <c r="AI78" s="5"/>
      <c r="AJ78" s="5"/>
      <c r="AK78" s="5"/>
      <c r="AL78" s="5"/>
      <c r="AM78" s="5"/>
      <c r="AN78" s="5"/>
      <c r="AO78" s="5"/>
      <c r="AP78" s="5"/>
      <c r="AQ78" s="5"/>
      <c r="AR78" s="5"/>
      <c r="AS78" s="5"/>
      <c r="AT78" s="5"/>
      <c r="AU78" s="5"/>
      <c r="AV78" s="5"/>
      <c r="AW78" s="5"/>
      <c r="AX78" s="5"/>
      <c r="AY78" s="5"/>
    </row>
    <row r="79" spans="1:51">
      <c r="A79" s="5" t="str">
        <f>_xlfn.CONCAT(Metadata!$B$1,"_USFL_LT_TotalFlood_Group")</f>
        <v>202503_USFL_LT_TotalFlood_Group</v>
      </c>
      <c r="B79" s="5" t="s">
        <v>170</v>
      </c>
      <c r="C79" s="5" t="s">
        <v>172</v>
      </c>
      <c r="D79" s="5" t="s">
        <v>173</v>
      </c>
      <c r="E79" s="5" t="s">
        <v>174</v>
      </c>
      <c r="F79" s="5" t="s">
        <v>175</v>
      </c>
      <c r="G79" s="5" t="s">
        <v>177</v>
      </c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</row>
    <row r="80" spans="1:51">
      <c r="A80" s="5" t="str">
        <f>_xlfn.CONCAT(Metadata!$B$1,"_USFL_NT_TotalFlood_Group")</f>
        <v>202503_USFL_NT_TotalFlood_Group</v>
      </c>
      <c r="B80" s="5" t="s">
        <v>208</v>
      </c>
      <c r="C80" s="5" t="s">
        <v>210</v>
      </c>
      <c r="D80" s="5" t="s">
        <v>211</v>
      </c>
      <c r="E80" s="5" t="s">
        <v>212</v>
      </c>
      <c r="F80" s="5" t="s">
        <v>213</v>
      </c>
      <c r="G80" s="5" t="s">
        <v>215</v>
      </c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</row>
    <row r="81" spans="1:51">
      <c r="A81" s="5" t="str">
        <f>_xlfn.CONCAT(Metadata!$B$1,"_USST_Condo_Group")</f>
        <v>202503_USST_Condo_Group</v>
      </c>
      <c r="B81" s="5" t="s">
        <v>202</v>
      </c>
      <c r="C81" s="5" t="s">
        <v>237</v>
      </c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</row>
    <row r="82" spans="1:51">
      <c r="A82" s="5" t="str">
        <f>_xlfn.CONCAT(Metadata!$B$1,"_USST_Choice_First_Select_Group")</f>
        <v>202503_USST_Choice_First_Select_Group</v>
      </c>
      <c r="B82" s="5" t="s">
        <v>201</v>
      </c>
      <c r="C82" s="5" t="s">
        <v>236</v>
      </c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/>
      <c r="AX82" s="5"/>
      <c r="AY82" s="5"/>
    </row>
    <row r="83" spans="1:51">
      <c r="A83" s="5" t="str">
        <f>_xlfn.CONCAT(Metadata!$B$1,"_USST_Manufactured_Housing_Group")</f>
        <v>202503_USST_Manufactured_Housing_Group</v>
      </c>
      <c r="B83" s="5" t="s">
        <v>204</v>
      </c>
      <c r="C83" s="5" t="s">
        <v>239</v>
      </c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</row>
    <row r="84" spans="1:51">
      <c r="A84" s="5" t="str">
        <f>_xlfn.CONCAT(Metadata!$B$1,"_USST_Geico_HIP1_Group")</f>
        <v>202503_USST_Geico_HIP1_Group</v>
      </c>
      <c r="B84" s="5" t="s">
        <v>206</v>
      </c>
      <c r="C84" s="5" t="s">
        <v>241</v>
      </c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</row>
    <row r="85" spans="1:51">
      <c r="A85" s="5" t="str">
        <f>_xlfn.CONCAT(Metadata!$B$1,"_USST_LenderPlaced_Group")</f>
        <v>202503_USST_LenderPlaced_Group</v>
      </c>
      <c r="B85" s="5" t="s">
        <v>207</v>
      </c>
      <c r="C85" s="5" t="s">
        <v>242</v>
      </c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/>
      <c r="AY85" s="5"/>
    </row>
    <row r="86" spans="1:51">
      <c r="A86" s="5" t="str">
        <f>_xlfn.CONCAT(Metadata!$B$1,"_USST_Other_Group")</f>
        <v>202503_USST_Other_Group</v>
      </c>
      <c r="B86" s="5" t="s">
        <v>200</v>
      </c>
      <c r="C86" s="5" t="s">
        <v>235</v>
      </c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  <c r="AC86" s="5"/>
      <c r="AD86" s="5"/>
      <c r="AE86" s="5"/>
      <c r="AF86" s="5"/>
      <c r="AG86" s="5"/>
      <c r="AH86" s="5"/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/>
      <c r="AT86" s="5"/>
      <c r="AU86" s="5"/>
      <c r="AV86" s="5"/>
      <c r="AW86" s="5"/>
      <c r="AX86" s="5"/>
      <c r="AY86" s="5"/>
    </row>
    <row r="87" spans="1:51">
      <c r="A87" s="5" t="str">
        <f>_xlfn.CONCAT(Metadata!$B$1,"_USST_Clay_Homes_Group")</f>
        <v>202503_USST_Clay_Homes_Group</v>
      </c>
      <c r="B87" s="5" t="s">
        <v>196</v>
      </c>
      <c r="C87" s="5" t="s">
        <v>232</v>
      </c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/>
      <c r="AD87" s="5"/>
      <c r="AE87" s="5"/>
      <c r="AF87" s="5"/>
      <c r="AG87" s="5"/>
      <c r="AH87" s="5"/>
      <c r="AI87" s="5"/>
      <c r="AJ87" s="5"/>
      <c r="AK87" s="5"/>
      <c r="AL87" s="5"/>
      <c r="AM87" s="5"/>
      <c r="AN87" s="5"/>
      <c r="AO87" s="5"/>
      <c r="AP87" s="5"/>
      <c r="AQ87" s="5"/>
      <c r="AR87" s="5"/>
      <c r="AS87" s="5"/>
      <c r="AT87" s="5"/>
      <c r="AU87" s="5"/>
      <c r="AV87" s="5"/>
      <c r="AW87" s="5"/>
      <c r="AX87" s="5"/>
      <c r="AY87" s="5"/>
    </row>
    <row r="88" spans="1:51">
      <c r="A88" s="5" t="str">
        <f>_xlfn.CONCAT(Metadata!$B$1,"_USST_Clay_21st_Group")</f>
        <v>202503_USST_Clay_21st_Group</v>
      </c>
      <c r="B88" s="5" t="s">
        <v>199</v>
      </c>
      <c r="C88" s="5" t="s">
        <v>234</v>
      </c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</row>
    <row r="89" spans="1:51">
      <c r="A89" s="5" t="str">
        <f>_xlfn.CONCAT(Metadata!$B$1,"_USST_Renters_Group")</f>
        <v>202503_USST_Renters_Group</v>
      </c>
      <c r="B89" s="5" t="s">
        <v>203</v>
      </c>
      <c r="C89" s="5" t="s">
        <v>238</v>
      </c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  <c r="AC89" s="5"/>
      <c r="AD89" s="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/>
      <c r="AW89" s="5"/>
      <c r="AX89" s="5"/>
      <c r="AY89" s="5"/>
    </row>
    <row r="90" spans="1:51">
      <c r="A90" s="4" t="str">
        <f>_xlfn.CONCAT(Metadata!$B$1,"_LT_USAP_Group")</f>
        <v>202503_LT_USAP_Group</v>
      </c>
      <c r="B90" s="4" t="s">
        <v>159</v>
      </c>
      <c r="C90" s="21" t="str">
        <f>_xlfn.CONCAT(Metadata!$B$1,"_LT_USAPxWFIF_Group")</f>
        <v>202503_LT_USAPxWFIF_Group</v>
      </c>
      <c r="D90" s="4" t="str">
        <f>_xlfn.CONCAT(Metadata!$B$1,"_USEQ_Group")</f>
        <v>202503_USEQ_Group</v>
      </c>
      <c r="E90" s="4" t="str">
        <f>_xlfn.CONCAT(Metadata!$B$1,"_USFF_Group")</f>
        <v>202503_USFF_Group</v>
      </c>
      <c r="F90" s="4" t="str">
        <f>_xlfn.CONCAT(Metadata!$B$1,"_USST_Group")</f>
        <v>202503_USST_Group</v>
      </c>
      <c r="G90" s="4" t="str">
        <f>_xlfn.CONCAT(Metadata!$B$1, "_USWF_Group")</f>
        <v>202503_USWF_Group</v>
      </c>
      <c r="H90" s="4" t="s">
        <v>30</v>
      </c>
      <c r="I90" s="4" t="str">
        <f>_xlfn.CONCAT(Metadata!$B$1, "_USFL_LT_TotalFlood_Group")</f>
        <v>202503_USFL_LT_TotalFlood_Group</v>
      </c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</row>
    <row r="91" spans="1:51">
      <c r="A91" s="4" t="str">
        <f>_xlfn.CONCAT(Metadata!$B$1,"_LT_USAPxWFIF_Group")</f>
        <v>202503_LT_USAPxWFIF_Group</v>
      </c>
      <c r="B91" s="4" t="s">
        <v>159</v>
      </c>
      <c r="C91" s="4" t="str">
        <f>_xlfn.CONCAT(Metadata!$B$1,"_LT_USHU_Group")</f>
        <v>202503_LT_USHU_Group</v>
      </c>
      <c r="D91" s="4" t="str">
        <f>_xlfn.CONCAT(Metadata!$B$1,"_USEQ_Group")</f>
        <v>202503_USEQ_Group</v>
      </c>
      <c r="E91" s="4" t="str">
        <f>_xlfn.CONCAT(Metadata!$B$1,"_USFF_Group")</f>
        <v>202503_USFF_Group</v>
      </c>
      <c r="F91" s="4" t="str">
        <f>_xlfn.CONCAT(Metadata!$B$1,"_USST_Group")</f>
        <v>202503_USST_Group</v>
      </c>
      <c r="G91" s="4" t="s">
        <v>30</v>
      </c>
      <c r="H91" s="4" t="str">
        <f>_xlfn.CONCAT(Metadata!$B$1, "_USFL_LT_TotalFlood_Group")</f>
        <v>202503_USFL_LT_TotalFlood_Group</v>
      </c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</row>
    <row r="92" spans="1:51">
      <c r="A92" s="4" t="str">
        <f>_xlfn.CONCAT(Metadata!$B$1,"_NT_USAP_Group")</f>
        <v>202503_NT_USAP_Group</v>
      </c>
      <c r="B92" s="4" t="s">
        <v>163</v>
      </c>
      <c r="C92" s="4" t="str">
        <f>_xlfn.CONCAT(Metadata!$B$1,"_NT_USHU_Group")</f>
        <v>202503_NT_USHU_Group</v>
      </c>
      <c r="D92" s="4" t="str">
        <f>_xlfn.CONCAT(Metadata!$B$1,"_USEQ_Group")</f>
        <v>202503_USEQ_Group</v>
      </c>
      <c r="E92" s="4" t="str">
        <f>_xlfn.CONCAT(Metadata!$B$1,"_USFF_Group")</f>
        <v>202503_USFF_Group</v>
      </c>
      <c r="F92" s="4" t="str">
        <f>_xlfn.CONCAT(Metadata!$B$1,"_USST_Group")</f>
        <v>202503_USST_Group</v>
      </c>
      <c r="G92" s="4" t="str">
        <f>_xlfn.CONCAT(Metadata!$B$1, "_USWF_Group")</f>
        <v>202503_USWF_Group</v>
      </c>
      <c r="H92" s="4" t="s">
        <v>30</v>
      </c>
      <c r="I92" s="4" t="str">
        <f>_xlfn.CONCAT(Metadata!$B$1, "_USFL_NT_TotalFlood_Group")</f>
        <v>202503_USFL_NT_TotalFlood_Group</v>
      </c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</row>
    <row r="93" spans="1:51">
      <c r="A93" s="4" t="str">
        <f>_xlfn.CONCAT(Metadata!$B$1,"_NT_USAPxWFIF_Group")</f>
        <v>202503_NT_USAPxWFIF_Group</v>
      </c>
      <c r="B93" s="4" t="s">
        <v>163</v>
      </c>
      <c r="C93" s="4" t="str">
        <f>_xlfn.CONCAT(Metadata!$B$1,"_NT_USHU_Group")</f>
        <v>202503_NT_USHU_Group</v>
      </c>
      <c r="D93" s="4" t="str">
        <f>_xlfn.CONCAT(Metadata!$B$1,"_USEQ_Group")</f>
        <v>202503_USEQ_Group</v>
      </c>
      <c r="E93" s="4" t="str">
        <f>_xlfn.CONCAT(Metadata!$B$1,"_USFF_Group")</f>
        <v>202503_USFF_Group</v>
      </c>
      <c r="F93" s="4" t="str">
        <f>_xlfn.CONCAT(Metadata!$B$1,"_USST_Group")</f>
        <v>202503_USST_Group</v>
      </c>
      <c r="G93" s="4" t="s">
        <v>30</v>
      </c>
      <c r="H93" s="4" t="str">
        <f>_xlfn.CONCAT(Metadata!$B$1, "_USFL_NT_TotalFlood_Group")</f>
        <v>202503_USFL_NT_TotalFlood_Group</v>
      </c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</row>
    <row r="94" spans="1:51">
      <c r="A94" s="4" t="str">
        <f>_xlfn.CONCAT(Metadata!$B$1,"_LT_USAPxCB_Group")</f>
        <v>202503_LT_USAPxCB_Group</v>
      </c>
      <c r="B94" s="4" t="str">
        <f>_xlfn.CONCAT(Metadata!$B$1,"_LT_USHU_Group")</f>
        <v>202503_LT_USHU_Group</v>
      </c>
      <c r="C94" s="4" t="str">
        <f>_xlfn.CONCAT(Metadata!$B$1,"_USEQ_Group")</f>
        <v>202503_USEQ_Group</v>
      </c>
      <c r="D94" s="4" t="str">
        <f>_xlfn.CONCAT(Metadata!$B$1,"_USFF_Group")</f>
        <v>202503_USFF_Group</v>
      </c>
      <c r="E94" s="4" t="str">
        <f>_xlfn.CONCAT(Metadata!$B$1,"_USST_Group")</f>
        <v>202503_USST_Group</v>
      </c>
      <c r="F94" s="4" t="str">
        <f>_xlfn.CONCAT(Metadata!$B$1,"_USWF_Group")</f>
        <v>202503_USWF_Group</v>
      </c>
      <c r="G94" s="4" t="str">
        <f>_xlfn.CONCAT(Metadata!$B$1, "_USFL_LT_TotalFlood_Group")</f>
        <v>202503_USFL_LT_TotalFlood_Group</v>
      </c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</row>
    <row r="95" spans="1:51">
      <c r="A95" s="4" t="str">
        <f>_xlfn.CONCAT(Metadata!$B$1,"_LT_USAPxWFIFxCB_Group")</f>
        <v>202503_LT_USAPxWFIFxCB_Group</v>
      </c>
      <c r="B95" s="4" t="str">
        <f>_xlfn.CONCAT(Metadata!$B$1,"_LT_USHU_Group")</f>
        <v>202503_LT_USHU_Group</v>
      </c>
      <c r="C95" s="4" t="str">
        <f>_xlfn.CONCAT(Metadata!$B$1,"_USEQ_Group")</f>
        <v>202503_USEQ_Group</v>
      </c>
      <c r="D95" s="4" t="str">
        <f>_xlfn.CONCAT(Metadata!$B$1,"_USFF_Group")</f>
        <v>202503_USFF_Group</v>
      </c>
      <c r="E95" s="4" t="str">
        <f>_xlfn.CONCAT(Metadata!$B$1,"_USST_Group")</f>
        <v>202503_USST_Group</v>
      </c>
      <c r="F95" s="4" t="str">
        <f>_xlfn.CONCAT(Metadata!$B$1,"_USFL_LT_TotalFlood_Group")</f>
        <v>202503_USFL_LT_TotalFlood_Group</v>
      </c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</row>
    <row r="96" spans="1:51">
      <c r="A96" s="4" t="str">
        <f>_xlfn.CONCAT(Metadata!$B$1,"_NT_USAPxCB_Group")</f>
        <v>202503_NT_USAPxCB_Group</v>
      </c>
      <c r="B96" s="4" t="str">
        <f>_xlfn.CONCAT(Metadata!$B$1,"_NT_USHU_Group")</f>
        <v>202503_NT_USHU_Group</v>
      </c>
      <c r="C96" s="4" t="str">
        <f>_xlfn.CONCAT(Metadata!$B$1,"_USEQ_Group")</f>
        <v>202503_USEQ_Group</v>
      </c>
      <c r="D96" s="4" t="str">
        <f>_xlfn.CONCAT(Metadata!$B$1,"_USFF_Group")</f>
        <v>202503_USFF_Group</v>
      </c>
      <c r="E96" s="4" t="str">
        <f>_xlfn.CONCAT(Metadata!$B$1,"_USST_Group")</f>
        <v>202503_USST_Group</v>
      </c>
      <c r="F96" s="4" t="str">
        <f>_xlfn.CONCAT(Metadata!$B$1,"_USWF_Group")</f>
        <v>202503_USWF_Group</v>
      </c>
      <c r="G96" s="4" t="str">
        <f>_xlfn.CONCAT(Metadata!$B$1, "_USFL_NT_TotalFlood_Group")</f>
        <v>202503_USFL_NT_TotalFlood_Group</v>
      </c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</row>
    <row r="97" spans="1:51">
      <c r="A97" s="4" t="str">
        <f>_xlfn.CONCAT(Metadata!$B$1,"_NT_USAPxWFIFxCB_Group")</f>
        <v>202503_NT_USAPxWFIFxCB_Group</v>
      </c>
      <c r="B97" s="4" t="str">
        <f>_xlfn.CONCAT(Metadata!$B$1,"_NT_USHU_Group")</f>
        <v>202503_NT_USHU_Group</v>
      </c>
      <c r="C97" s="4" t="str">
        <f>_xlfn.CONCAT(Metadata!$B$1,"_USEQ_Group")</f>
        <v>202503_USEQ_Group</v>
      </c>
      <c r="D97" s="4" t="str">
        <f>_xlfn.CONCAT(Metadata!$B$1,"_USFF_Group")</f>
        <v>202503_USFF_Group</v>
      </c>
      <c r="E97" s="4" t="str">
        <f>_xlfn.CONCAT(Metadata!$B$1,"_USST_Group")</f>
        <v>202503_USST_Group</v>
      </c>
      <c r="F97" s="4" t="str">
        <f>_xlfn.CONCAT(Metadata!$B$1,"_USFL_NT_TotalFlood_Group")</f>
        <v>202503_USFL_NT_TotalFlood_Group</v>
      </c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</row>
  </sheetData>
  <phoneticPr fontId="1" type="noConversion"/>
  <dataValidations count="1">
    <dataValidation type="list" allowBlank="1" showInputMessage="1" showErrorMessage="1" sqref="B2:B500 D2:AY500 C2:C89 C91:C500" xr:uid="{0479295F-0C94-4337-A295-2AD6984733F5}">
      <formula1>Analysis</formula1>
    </dataValidation>
  </dataValidation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97AFA4-7618-4E71-A806-6E46AD957760}">
  <dimension ref="A1:C265"/>
  <sheetViews>
    <sheetView workbookViewId="0">
      <selection activeCell="A250" sqref="A250"/>
    </sheetView>
  </sheetViews>
  <sheetFormatPr defaultColWidth="9.1796875" defaultRowHeight="13"/>
  <cols>
    <col min="1" max="1" width="51.1796875" style="3" bestFit="1" customWidth="1"/>
    <col min="2" max="2" width="24.7265625" style="3" bestFit="1" customWidth="1"/>
    <col min="3" max="3" width="19.7265625" style="3" bestFit="1" customWidth="1"/>
    <col min="4" max="4" width="26.1796875" style="3" bestFit="1" customWidth="1"/>
    <col min="5" max="5" width="28.1796875" style="3" bestFit="1" customWidth="1"/>
    <col min="6" max="16384" width="9.1796875" style="3"/>
  </cols>
  <sheetData>
    <row r="1" spans="1:3">
      <c r="A1" s="1" t="s">
        <v>145</v>
      </c>
      <c r="B1" s="1" t="s">
        <v>294</v>
      </c>
      <c r="C1" s="1" t="s">
        <v>295</v>
      </c>
    </row>
    <row r="2" spans="1:3">
      <c r="A2" s="3" t="s">
        <v>159</v>
      </c>
      <c r="B2" s="3" t="s">
        <v>296</v>
      </c>
      <c r="C2" s="3" t="s">
        <v>297</v>
      </c>
    </row>
    <row r="3" spans="1:3">
      <c r="A3" s="3" t="s">
        <v>159</v>
      </c>
      <c r="B3" s="3" t="s">
        <v>296</v>
      </c>
      <c r="C3" s="3" t="s">
        <v>298</v>
      </c>
    </row>
    <row r="4" spans="1:3">
      <c r="A4" s="3" t="s">
        <v>163</v>
      </c>
      <c r="B4" s="3" t="s">
        <v>299</v>
      </c>
      <c r="C4" s="3" t="s">
        <v>297</v>
      </c>
    </row>
    <row r="5" spans="1:3">
      <c r="A5" s="3" t="s">
        <v>163</v>
      </c>
      <c r="B5" s="3" t="s">
        <v>299</v>
      </c>
      <c r="C5" s="3" t="s">
        <v>298</v>
      </c>
    </row>
    <row r="6" spans="1:3">
      <c r="A6" s="3" t="s">
        <v>30</v>
      </c>
      <c r="B6" s="3" t="s">
        <v>30</v>
      </c>
      <c r="C6" s="3" t="s">
        <v>297</v>
      </c>
    </row>
    <row r="7" spans="1:3">
      <c r="A7" s="3" t="s">
        <v>30</v>
      </c>
      <c r="B7" s="3" t="s">
        <v>30</v>
      </c>
      <c r="C7" s="3" t="s">
        <v>298</v>
      </c>
    </row>
    <row r="8" spans="1:3">
      <c r="A8" s="3" t="s">
        <v>31</v>
      </c>
      <c r="B8" s="3" t="s">
        <v>32</v>
      </c>
      <c r="C8" s="3" t="s">
        <v>300</v>
      </c>
    </row>
    <row r="9" spans="1:3">
      <c r="A9" s="3" t="s">
        <v>34</v>
      </c>
      <c r="B9" s="3" t="s">
        <v>32</v>
      </c>
      <c r="C9" s="3" t="s">
        <v>301</v>
      </c>
    </row>
    <row r="10" spans="1:3">
      <c r="A10" s="3" t="s">
        <v>35</v>
      </c>
      <c r="B10" s="3" t="s">
        <v>32</v>
      </c>
      <c r="C10" s="3" t="s">
        <v>302</v>
      </c>
    </row>
    <row r="11" spans="1:3">
      <c r="A11" s="3" t="s">
        <v>36</v>
      </c>
      <c r="B11" s="3" t="s">
        <v>32</v>
      </c>
      <c r="C11" s="3" t="s">
        <v>303</v>
      </c>
    </row>
    <row r="12" spans="1:3">
      <c r="A12" s="3" t="s">
        <v>37</v>
      </c>
      <c r="B12" s="3" t="s">
        <v>32</v>
      </c>
      <c r="C12" s="3" t="s">
        <v>304</v>
      </c>
    </row>
    <row r="13" spans="1:3">
      <c r="A13" s="3" t="s">
        <v>38</v>
      </c>
      <c r="B13" s="3" t="s">
        <v>32</v>
      </c>
      <c r="C13" s="3" t="s">
        <v>305</v>
      </c>
    </row>
    <row r="14" spans="1:3">
      <c r="A14" s="3" t="s">
        <v>39</v>
      </c>
      <c r="B14" s="3" t="s">
        <v>40</v>
      </c>
      <c r="C14" s="3" t="s">
        <v>306</v>
      </c>
    </row>
    <row r="15" spans="1:3">
      <c r="A15" s="3" t="s">
        <v>41</v>
      </c>
      <c r="B15" s="3" t="s">
        <v>40</v>
      </c>
      <c r="C15" s="3" t="s">
        <v>307</v>
      </c>
    </row>
    <row r="16" spans="1:3">
      <c r="A16" s="3" t="s">
        <v>42</v>
      </c>
      <c r="B16" s="3" t="s">
        <v>40</v>
      </c>
      <c r="C16" s="3" t="s">
        <v>300</v>
      </c>
    </row>
    <row r="17" spans="1:3">
      <c r="A17" s="3" t="s">
        <v>43</v>
      </c>
      <c r="B17" s="3" t="s">
        <v>40</v>
      </c>
      <c r="C17" s="3" t="s">
        <v>301</v>
      </c>
    </row>
    <row r="18" spans="1:3">
      <c r="A18" s="3" t="s">
        <v>44</v>
      </c>
      <c r="B18" s="3" t="s">
        <v>40</v>
      </c>
      <c r="C18" s="3" t="s">
        <v>308</v>
      </c>
    </row>
    <row r="19" spans="1:3">
      <c r="A19" s="3" t="s">
        <v>45</v>
      </c>
      <c r="B19" s="3" t="s">
        <v>40</v>
      </c>
      <c r="C19" s="3" t="s">
        <v>302</v>
      </c>
    </row>
    <row r="20" spans="1:3">
      <c r="A20" s="3" t="s">
        <v>46</v>
      </c>
      <c r="B20" s="3" t="s">
        <v>40</v>
      </c>
      <c r="C20" s="3" t="s">
        <v>303</v>
      </c>
    </row>
    <row r="21" spans="1:3">
      <c r="A21" s="3" t="s">
        <v>47</v>
      </c>
      <c r="B21" s="3" t="s">
        <v>40</v>
      </c>
      <c r="C21" s="3" t="s">
        <v>304</v>
      </c>
    </row>
    <row r="22" spans="1:3">
      <c r="A22" s="3" t="s">
        <v>48</v>
      </c>
      <c r="B22" s="3" t="s">
        <v>40</v>
      </c>
      <c r="C22" s="3" t="s">
        <v>305</v>
      </c>
    </row>
    <row r="23" spans="1:3">
      <c r="A23" s="3" t="s">
        <v>49</v>
      </c>
      <c r="B23" s="3" t="s">
        <v>40</v>
      </c>
      <c r="C23" s="3" t="s">
        <v>297</v>
      </c>
    </row>
    <row r="24" spans="1:3">
      <c r="A24" s="3" t="s">
        <v>170</v>
      </c>
      <c r="B24" s="3" t="s">
        <v>309</v>
      </c>
      <c r="C24" s="3" t="s">
        <v>308</v>
      </c>
    </row>
    <row r="25" spans="1:3">
      <c r="A25" s="3" t="s">
        <v>172</v>
      </c>
      <c r="B25" s="3" t="s">
        <v>309</v>
      </c>
      <c r="C25" s="3" t="s">
        <v>304</v>
      </c>
    </row>
    <row r="26" spans="1:3">
      <c r="A26" s="3" t="s">
        <v>173</v>
      </c>
      <c r="B26" s="3" t="s">
        <v>309</v>
      </c>
      <c r="C26" s="3" t="s">
        <v>305</v>
      </c>
    </row>
    <row r="27" spans="1:3">
      <c r="A27" s="3" t="s">
        <v>174</v>
      </c>
      <c r="B27" s="3" t="s">
        <v>309</v>
      </c>
      <c r="C27" s="3" t="s">
        <v>297</v>
      </c>
    </row>
    <row r="28" spans="1:3">
      <c r="A28" s="3" t="s">
        <v>175</v>
      </c>
      <c r="B28" s="3" t="s">
        <v>309</v>
      </c>
      <c r="C28" s="3" t="s">
        <v>310</v>
      </c>
    </row>
    <row r="29" spans="1:3">
      <c r="A29" s="3" t="s">
        <v>175</v>
      </c>
      <c r="B29" s="3" t="s">
        <v>311</v>
      </c>
      <c r="C29" s="3" t="s">
        <v>310</v>
      </c>
    </row>
    <row r="30" spans="1:3">
      <c r="A30" s="3" t="s">
        <v>175</v>
      </c>
      <c r="B30" s="3" t="s">
        <v>312</v>
      </c>
      <c r="C30" s="3" t="s">
        <v>310</v>
      </c>
    </row>
    <row r="31" spans="1:3">
      <c r="A31" s="3" t="s">
        <v>175</v>
      </c>
      <c r="B31" s="3" t="s">
        <v>313</v>
      </c>
      <c r="C31" s="3" t="s">
        <v>310</v>
      </c>
    </row>
    <row r="32" spans="1:3">
      <c r="A32" s="3" t="s">
        <v>175</v>
      </c>
      <c r="B32" s="3" t="s">
        <v>314</v>
      </c>
      <c r="C32" s="3" t="s">
        <v>310</v>
      </c>
    </row>
    <row r="33" spans="1:3">
      <c r="A33" s="3" t="s">
        <v>177</v>
      </c>
      <c r="B33" s="3" t="s">
        <v>309</v>
      </c>
      <c r="C33" s="3" t="s">
        <v>315</v>
      </c>
    </row>
    <row r="34" spans="1:3">
      <c r="A34" s="3" t="s">
        <v>177</v>
      </c>
      <c r="B34" s="3" t="s">
        <v>311</v>
      </c>
      <c r="C34" s="3" t="s">
        <v>315</v>
      </c>
    </row>
    <row r="35" spans="1:3">
      <c r="A35" s="3" t="s">
        <v>177</v>
      </c>
      <c r="B35" s="3" t="s">
        <v>312</v>
      </c>
      <c r="C35" s="3" t="s">
        <v>315</v>
      </c>
    </row>
    <row r="36" spans="1:3">
      <c r="A36" s="3" t="s">
        <v>177</v>
      </c>
      <c r="B36" s="3" t="s">
        <v>313</v>
      </c>
      <c r="C36" s="3" t="s">
        <v>315</v>
      </c>
    </row>
    <row r="37" spans="1:3">
      <c r="A37" s="3" t="s">
        <v>177</v>
      </c>
      <c r="B37" s="3" t="s">
        <v>314</v>
      </c>
      <c r="C37" s="3" t="s">
        <v>315</v>
      </c>
    </row>
    <row r="38" spans="1:3">
      <c r="A38" s="3" t="s">
        <v>178</v>
      </c>
      <c r="B38" s="3" t="s">
        <v>316</v>
      </c>
      <c r="C38" s="3" t="s">
        <v>306</v>
      </c>
    </row>
    <row r="39" spans="1:3">
      <c r="A39" s="3" t="s">
        <v>180</v>
      </c>
      <c r="B39" s="3" t="s">
        <v>316</v>
      </c>
      <c r="C39" s="3" t="s">
        <v>307</v>
      </c>
    </row>
    <row r="40" spans="1:3">
      <c r="A40" s="3" t="s">
        <v>181</v>
      </c>
    </row>
    <row r="41" spans="1:3">
      <c r="A41" s="3" t="s">
        <v>183</v>
      </c>
    </row>
    <row r="42" spans="1:3">
      <c r="A42" s="3" t="s">
        <v>184</v>
      </c>
    </row>
    <row r="43" spans="1:3">
      <c r="A43" s="3" t="s">
        <v>185</v>
      </c>
    </row>
    <row r="44" spans="1:3">
      <c r="A44" s="3" t="s">
        <v>186</v>
      </c>
    </row>
    <row r="45" spans="1:3">
      <c r="A45" s="3" t="s">
        <v>187</v>
      </c>
    </row>
    <row r="46" spans="1:3">
      <c r="A46" s="3" t="s">
        <v>188</v>
      </c>
    </row>
    <row r="47" spans="1:3">
      <c r="A47" s="3" t="s">
        <v>189</v>
      </c>
    </row>
    <row r="48" spans="1:3">
      <c r="A48" s="3" t="s">
        <v>190</v>
      </c>
    </row>
    <row r="49" spans="1:3">
      <c r="A49" s="3" t="s">
        <v>191</v>
      </c>
      <c r="B49" s="3" t="s">
        <v>316</v>
      </c>
      <c r="C49" s="3" t="s">
        <v>302</v>
      </c>
    </row>
    <row r="50" spans="1:3">
      <c r="A50" s="3" t="s">
        <v>192</v>
      </c>
      <c r="B50" s="3" t="s">
        <v>316</v>
      </c>
      <c r="C50" s="3" t="s">
        <v>303</v>
      </c>
    </row>
    <row r="51" spans="1:3">
      <c r="A51" s="3" t="s">
        <v>193</v>
      </c>
    </row>
    <row r="52" spans="1:3">
      <c r="A52" s="3" t="s">
        <v>194</v>
      </c>
    </row>
    <row r="53" spans="1:3">
      <c r="A53" s="3" t="s">
        <v>195</v>
      </c>
    </row>
    <row r="54" spans="1:3">
      <c r="A54" s="3" t="s">
        <v>196</v>
      </c>
    </row>
    <row r="55" spans="1:3">
      <c r="A55" s="3" t="s">
        <v>199</v>
      </c>
    </row>
    <row r="56" spans="1:3">
      <c r="A56" s="3" t="s">
        <v>200</v>
      </c>
    </row>
    <row r="57" spans="1:3">
      <c r="A57" s="3" t="s">
        <v>201</v>
      </c>
    </row>
    <row r="58" spans="1:3">
      <c r="A58" s="3" t="s">
        <v>202</v>
      </c>
    </row>
    <row r="59" spans="1:3">
      <c r="A59" s="3" t="s">
        <v>203</v>
      </c>
    </row>
    <row r="60" spans="1:3">
      <c r="A60" s="3" t="s">
        <v>204</v>
      </c>
    </row>
    <row r="61" spans="1:3">
      <c r="A61" s="3" t="s">
        <v>205</v>
      </c>
    </row>
    <row r="62" spans="1:3">
      <c r="A62" s="3" t="s">
        <v>206</v>
      </c>
    </row>
    <row r="63" spans="1:3">
      <c r="A63" s="3" t="s">
        <v>207</v>
      </c>
    </row>
    <row r="64" spans="1:3">
      <c r="A64" s="3" t="s">
        <v>89</v>
      </c>
      <c r="B64" s="3" t="s">
        <v>90</v>
      </c>
      <c r="C64" s="3" t="s">
        <v>300</v>
      </c>
    </row>
    <row r="65" spans="1:3">
      <c r="A65" s="3" t="s">
        <v>91</v>
      </c>
      <c r="B65" s="3" t="s">
        <v>90</v>
      </c>
      <c r="C65" s="3" t="s">
        <v>301</v>
      </c>
    </row>
    <row r="66" spans="1:3">
      <c r="A66" s="3" t="s">
        <v>92</v>
      </c>
      <c r="B66" s="3" t="s">
        <v>90</v>
      </c>
      <c r="C66" s="3" t="s">
        <v>308</v>
      </c>
    </row>
    <row r="67" spans="1:3">
      <c r="A67" s="3" t="s">
        <v>93</v>
      </c>
      <c r="B67" s="3" t="s">
        <v>90</v>
      </c>
      <c r="C67" s="3" t="s">
        <v>302</v>
      </c>
    </row>
    <row r="68" spans="1:3">
      <c r="A68" s="3" t="s">
        <v>94</v>
      </c>
      <c r="B68" s="3" t="s">
        <v>90</v>
      </c>
      <c r="C68" s="3" t="s">
        <v>303</v>
      </c>
    </row>
    <row r="69" spans="1:3">
      <c r="A69" s="3" t="s">
        <v>95</v>
      </c>
      <c r="B69" s="3" t="s">
        <v>90</v>
      </c>
      <c r="C69" s="3" t="s">
        <v>304</v>
      </c>
    </row>
    <row r="70" spans="1:3">
      <c r="A70" s="3" t="s">
        <v>96</v>
      </c>
      <c r="B70" s="3" t="s">
        <v>90</v>
      </c>
      <c r="C70" s="3" t="s">
        <v>305</v>
      </c>
    </row>
    <row r="71" spans="1:3">
      <c r="A71" s="3" t="s">
        <v>97</v>
      </c>
      <c r="B71" s="3" t="s">
        <v>90</v>
      </c>
      <c r="C71" s="3" t="s">
        <v>306</v>
      </c>
    </row>
    <row r="72" spans="1:3">
      <c r="A72" s="3" t="s">
        <v>98</v>
      </c>
      <c r="B72" s="3" t="s">
        <v>90</v>
      </c>
      <c r="C72" s="3" t="s">
        <v>307</v>
      </c>
    </row>
    <row r="73" spans="1:3">
      <c r="A73" s="3" t="s">
        <v>99</v>
      </c>
      <c r="B73" s="3" t="s">
        <v>90</v>
      </c>
      <c r="C73" s="3" t="s">
        <v>297</v>
      </c>
    </row>
    <row r="74" spans="1:3">
      <c r="A74" s="3" t="s">
        <v>208</v>
      </c>
      <c r="B74" s="3" t="s">
        <v>317</v>
      </c>
      <c r="C74" s="3" t="s">
        <v>308</v>
      </c>
    </row>
    <row r="75" spans="1:3">
      <c r="A75" s="3" t="s">
        <v>210</v>
      </c>
      <c r="B75" s="3" t="s">
        <v>317</v>
      </c>
      <c r="C75" s="3" t="s">
        <v>304</v>
      </c>
    </row>
    <row r="76" spans="1:3">
      <c r="A76" s="3" t="s">
        <v>211</v>
      </c>
      <c r="B76" s="3" t="s">
        <v>317</v>
      </c>
      <c r="C76" s="3" t="s">
        <v>305</v>
      </c>
    </row>
    <row r="77" spans="1:3">
      <c r="A77" s="3" t="s">
        <v>212</v>
      </c>
      <c r="B77" s="3" t="s">
        <v>317</v>
      </c>
      <c r="C77" s="3" t="s">
        <v>297</v>
      </c>
    </row>
    <row r="78" spans="1:3">
      <c r="A78" s="3" t="s">
        <v>213</v>
      </c>
      <c r="B78" s="3" t="s">
        <v>318</v>
      </c>
      <c r="C78" s="3" t="s">
        <v>310</v>
      </c>
    </row>
    <row r="79" spans="1:3">
      <c r="A79" s="3" t="s">
        <v>213</v>
      </c>
      <c r="B79" s="3" t="s">
        <v>319</v>
      </c>
      <c r="C79" s="3" t="s">
        <v>310</v>
      </c>
    </row>
    <row r="80" spans="1:3">
      <c r="A80" s="3" t="s">
        <v>213</v>
      </c>
      <c r="B80" s="3" t="s">
        <v>320</v>
      </c>
      <c r="C80" s="3" t="s">
        <v>310</v>
      </c>
    </row>
    <row r="81" spans="1:3">
      <c r="A81" s="3" t="s">
        <v>213</v>
      </c>
      <c r="B81" s="3" t="s">
        <v>321</v>
      </c>
      <c r="C81" s="3" t="s">
        <v>310</v>
      </c>
    </row>
    <row r="82" spans="1:3">
      <c r="A82" s="3" t="s">
        <v>213</v>
      </c>
      <c r="B82" s="3" t="s">
        <v>317</v>
      </c>
      <c r="C82" s="3" t="s">
        <v>310</v>
      </c>
    </row>
    <row r="83" spans="1:3">
      <c r="A83" s="3" t="s">
        <v>215</v>
      </c>
      <c r="B83" s="3" t="s">
        <v>318</v>
      </c>
      <c r="C83" s="3" t="s">
        <v>315</v>
      </c>
    </row>
    <row r="84" spans="1:3">
      <c r="A84" s="3" t="s">
        <v>215</v>
      </c>
      <c r="B84" s="3" t="s">
        <v>319</v>
      </c>
      <c r="C84" s="3" t="s">
        <v>315</v>
      </c>
    </row>
    <row r="85" spans="1:3">
      <c r="A85" s="3" t="s">
        <v>215</v>
      </c>
      <c r="B85" s="3" t="s">
        <v>320</v>
      </c>
      <c r="C85" s="3" t="s">
        <v>315</v>
      </c>
    </row>
    <row r="86" spans="1:3">
      <c r="A86" s="3" t="s">
        <v>215</v>
      </c>
      <c r="B86" s="3" t="s">
        <v>321</v>
      </c>
      <c r="C86" s="3" t="s">
        <v>315</v>
      </c>
    </row>
    <row r="87" spans="1:3">
      <c r="A87" s="3" t="s">
        <v>215</v>
      </c>
      <c r="B87" s="3" t="s">
        <v>317</v>
      </c>
      <c r="C87" s="3" t="s">
        <v>315</v>
      </c>
    </row>
    <row r="88" spans="1:3">
      <c r="A88" s="3" t="s">
        <v>216</v>
      </c>
      <c r="B88" s="3" t="s">
        <v>322</v>
      </c>
      <c r="C88" s="3" t="s">
        <v>306</v>
      </c>
    </row>
    <row r="89" spans="1:3">
      <c r="A89" s="3" t="s">
        <v>217</v>
      </c>
      <c r="B89" s="3" t="s">
        <v>322</v>
      </c>
      <c r="C89" s="3" t="s">
        <v>307</v>
      </c>
    </row>
    <row r="90" spans="1:3">
      <c r="A90" s="3" t="s">
        <v>218</v>
      </c>
    </row>
    <row r="91" spans="1:3">
      <c r="A91" s="3" t="s">
        <v>219</v>
      </c>
    </row>
    <row r="92" spans="1:3">
      <c r="A92" s="3" t="s">
        <v>220</v>
      </c>
    </row>
    <row r="93" spans="1:3">
      <c r="A93" s="3" t="s">
        <v>221</v>
      </c>
    </row>
    <row r="94" spans="1:3">
      <c r="A94" s="3" t="s">
        <v>222</v>
      </c>
    </row>
    <row r="95" spans="1:3">
      <c r="A95" s="3" t="s">
        <v>223</v>
      </c>
    </row>
    <row r="96" spans="1:3">
      <c r="A96" s="3" t="s">
        <v>224</v>
      </c>
    </row>
    <row r="97" spans="1:3">
      <c r="A97" s="3" t="s">
        <v>225</v>
      </c>
    </row>
    <row r="98" spans="1:3">
      <c r="A98" s="3" t="s">
        <v>226</v>
      </c>
    </row>
    <row r="99" spans="1:3">
      <c r="A99" s="3" t="s">
        <v>227</v>
      </c>
      <c r="B99" s="3" t="s">
        <v>322</v>
      </c>
      <c r="C99" s="3" t="s">
        <v>302</v>
      </c>
    </row>
    <row r="100" spans="1:3">
      <c r="A100" s="3" t="s">
        <v>228</v>
      </c>
      <c r="B100" s="3" t="s">
        <v>322</v>
      </c>
      <c r="C100" s="3" t="s">
        <v>303</v>
      </c>
    </row>
    <row r="101" spans="1:3">
      <c r="A101" s="3" t="s">
        <v>229</v>
      </c>
    </row>
    <row r="102" spans="1:3">
      <c r="A102" s="3" t="s">
        <v>230</v>
      </c>
    </row>
    <row r="103" spans="1:3">
      <c r="A103" s="3" t="s">
        <v>231</v>
      </c>
    </row>
    <row r="104" spans="1:3">
      <c r="A104" s="3" t="s">
        <v>232</v>
      </c>
    </row>
    <row r="105" spans="1:3">
      <c r="A105" s="3" t="s">
        <v>234</v>
      </c>
    </row>
    <row r="106" spans="1:3">
      <c r="A106" s="3" t="s">
        <v>235</v>
      </c>
    </row>
    <row r="107" spans="1:3">
      <c r="A107" s="3" t="s">
        <v>236</v>
      </c>
    </row>
    <row r="108" spans="1:3">
      <c r="A108" s="3" t="s">
        <v>237</v>
      </c>
    </row>
    <row r="109" spans="1:3">
      <c r="A109" s="3" t="s">
        <v>238</v>
      </c>
    </row>
    <row r="110" spans="1:3">
      <c r="A110" s="3" t="s">
        <v>239</v>
      </c>
    </row>
    <row r="111" spans="1:3">
      <c r="A111" s="3" t="s">
        <v>240</v>
      </c>
    </row>
    <row r="112" spans="1:3">
      <c r="A112" s="3" t="s">
        <v>241</v>
      </c>
    </row>
    <row r="113" spans="1:3">
      <c r="A113" s="3" t="s">
        <v>242</v>
      </c>
    </row>
    <row r="114" spans="1:3">
      <c r="A114" s="20" t="s">
        <v>538</v>
      </c>
      <c r="B114" s="3" t="s">
        <v>323</v>
      </c>
      <c r="C114" s="3" t="s">
        <v>306</v>
      </c>
    </row>
    <row r="115" spans="1:3">
      <c r="A115" s="3" t="s">
        <v>457</v>
      </c>
      <c r="B115" s="3" t="s">
        <v>316</v>
      </c>
      <c r="C115" s="3" t="s">
        <v>305</v>
      </c>
    </row>
    <row r="116" spans="1:3">
      <c r="A116" s="3" t="s">
        <v>458</v>
      </c>
      <c r="B116" s="3" t="s">
        <v>322</v>
      </c>
      <c r="C116" s="3" t="s">
        <v>305</v>
      </c>
    </row>
    <row r="117" spans="1:3">
      <c r="A117" s="3" t="s">
        <v>459</v>
      </c>
      <c r="B117" s="3" t="s">
        <v>316</v>
      </c>
      <c r="C117" s="3" t="s">
        <v>304</v>
      </c>
    </row>
    <row r="118" spans="1:3">
      <c r="A118" s="3" t="s">
        <v>460</v>
      </c>
      <c r="B118" s="3" t="s">
        <v>322</v>
      </c>
      <c r="C118" s="3" t="s">
        <v>304</v>
      </c>
    </row>
    <row r="119" spans="1:3">
      <c r="A119" s="3" t="s">
        <v>461</v>
      </c>
      <c r="B119" s="3" t="s">
        <v>316</v>
      </c>
      <c r="C119" s="3" t="s">
        <v>308</v>
      </c>
    </row>
    <row r="120" spans="1:3">
      <c r="A120" s="3" t="s">
        <v>462</v>
      </c>
      <c r="B120" s="3" t="s">
        <v>322</v>
      </c>
      <c r="C120" s="3" t="s">
        <v>308</v>
      </c>
    </row>
    <row r="121" spans="1:3">
      <c r="A121" s="3" t="s">
        <v>463</v>
      </c>
      <c r="B121" s="3" t="s">
        <v>316</v>
      </c>
      <c r="C121" s="3" t="s">
        <v>297</v>
      </c>
    </row>
    <row r="122" spans="1:3">
      <c r="A122" s="3" t="s">
        <v>464</v>
      </c>
      <c r="B122" s="3" t="s">
        <v>322</v>
      </c>
      <c r="C122" s="3" t="s">
        <v>297</v>
      </c>
    </row>
    <row r="123" spans="1:3">
      <c r="A123" s="3" t="s">
        <v>465</v>
      </c>
      <c r="B123" s="3" t="s">
        <v>322</v>
      </c>
      <c r="C123" s="3" t="s">
        <v>298</v>
      </c>
    </row>
    <row r="124" spans="1:3">
      <c r="A124" s="3" t="s">
        <v>466</v>
      </c>
      <c r="B124" s="3" t="s">
        <v>316</v>
      </c>
      <c r="C124" s="3" t="s">
        <v>298</v>
      </c>
    </row>
    <row r="125" spans="1:3">
      <c r="A125" s="3" t="s">
        <v>467</v>
      </c>
      <c r="B125" s="3" t="s">
        <v>32</v>
      </c>
      <c r="C125" s="3" t="s">
        <v>298</v>
      </c>
    </row>
    <row r="126" spans="1:3">
      <c r="A126" s="3" t="s">
        <v>468</v>
      </c>
      <c r="B126" s="3" t="s">
        <v>40</v>
      </c>
      <c r="C126" s="3" t="s">
        <v>298</v>
      </c>
    </row>
    <row r="127" spans="1:3">
      <c r="A127" s="3" t="s">
        <v>469</v>
      </c>
      <c r="B127" s="3" t="s">
        <v>90</v>
      </c>
      <c r="C127" s="3" t="s">
        <v>298</v>
      </c>
    </row>
    <row r="128" spans="1:3">
      <c r="A128" s="3" t="s">
        <v>470</v>
      </c>
      <c r="B128" s="3" t="s">
        <v>323</v>
      </c>
      <c r="C128" s="3" t="s">
        <v>298</v>
      </c>
    </row>
    <row r="129" spans="1:3">
      <c r="A129" s="3" t="s">
        <v>471</v>
      </c>
      <c r="B129" s="3" t="s">
        <v>313</v>
      </c>
      <c r="C129" s="3" t="s">
        <v>297</v>
      </c>
    </row>
    <row r="130" spans="1:3">
      <c r="A130" s="3" t="s">
        <v>472</v>
      </c>
      <c r="B130" s="3" t="s">
        <v>314</v>
      </c>
      <c r="C130" s="3" t="s">
        <v>297</v>
      </c>
    </row>
    <row r="131" spans="1:3">
      <c r="A131" s="3" t="s">
        <v>473</v>
      </c>
      <c r="B131" s="3" t="s">
        <v>311</v>
      </c>
      <c r="C131" s="3" t="s">
        <v>297</v>
      </c>
    </row>
    <row r="132" spans="1:3">
      <c r="A132" s="3" t="s">
        <v>474</v>
      </c>
      <c r="B132" s="3" t="s">
        <v>312</v>
      </c>
      <c r="C132" s="3" t="s">
        <v>297</v>
      </c>
    </row>
    <row r="133" spans="1:3">
      <c r="A133" s="20" t="s">
        <v>539</v>
      </c>
      <c r="B133" s="3" t="s">
        <v>313</v>
      </c>
      <c r="C133" s="3" t="s">
        <v>306</v>
      </c>
    </row>
    <row r="134" spans="1:3">
      <c r="A134" s="20" t="s">
        <v>540</v>
      </c>
      <c r="B134" s="3" t="s">
        <v>314</v>
      </c>
      <c r="C134" s="3" t="s">
        <v>306</v>
      </c>
    </row>
    <row r="135" spans="1:3">
      <c r="A135" s="20" t="s">
        <v>539</v>
      </c>
      <c r="B135" s="3" t="s">
        <v>311</v>
      </c>
      <c r="C135" s="3" t="s">
        <v>306</v>
      </c>
    </row>
    <row r="136" spans="1:3">
      <c r="A136" s="20" t="s">
        <v>540</v>
      </c>
      <c r="B136" s="3" t="s">
        <v>312</v>
      </c>
      <c r="C136" s="3" t="s">
        <v>306</v>
      </c>
    </row>
    <row r="137" spans="1:3">
      <c r="A137" s="3" t="s">
        <v>475</v>
      </c>
      <c r="B137" s="3" t="s">
        <v>313</v>
      </c>
      <c r="C137" s="3" t="s">
        <v>303</v>
      </c>
    </row>
    <row r="138" spans="1:3">
      <c r="A138" s="3" t="s">
        <v>476</v>
      </c>
      <c r="B138" s="3" t="s">
        <v>314</v>
      </c>
      <c r="C138" s="3" t="s">
        <v>303</v>
      </c>
    </row>
    <row r="139" spans="1:3">
      <c r="A139" s="3" t="s">
        <v>475</v>
      </c>
      <c r="B139" s="3" t="s">
        <v>311</v>
      </c>
      <c r="C139" s="3" t="s">
        <v>303</v>
      </c>
    </row>
    <row r="140" spans="1:3">
      <c r="A140" s="3" t="s">
        <v>476</v>
      </c>
      <c r="B140" s="3" t="s">
        <v>312</v>
      </c>
      <c r="C140" s="3" t="s">
        <v>303</v>
      </c>
    </row>
    <row r="141" spans="1:3">
      <c r="A141" s="20" t="s">
        <v>541</v>
      </c>
      <c r="B141" s="3" t="s">
        <v>313</v>
      </c>
      <c r="C141" s="3" t="s">
        <v>307</v>
      </c>
    </row>
    <row r="142" spans="1:3">
      <c r="A142" s="20" t="s">
        <v>542</v>
      </c>
      <c r="B142" s="3" t="s">
        <v>314</v>
      </c>
      <c r="C142" s="3" t="s">
        <v>307</v>
      </c>
    </row>
    <row r="143" spans="1:3">
      <c r="A143" s="20" t="s">
        <v>541</v>
      </c>
      <c r="B143" s="3" t="s">
        <v>311</v>
      </c>
      <c r="C143" s="3" t="s">
        <v>307</v>
      </c>
    </row>
    <row r="144" spans="1:3">
      <c r="A144" s="20" t="s">
        <v>542</v>
      </c>
      <c r="B144" s="3" t="s">
        <v>312</v>
      </c>
      <c r="C144" s="3" t="s">
        <v>307</v>
      </c>
    </row>
    <row r="145" spans="1:3">
      <c r="A145" s="3" t="s">
        <v>477</v>
      </c>
      <c r="B145" s="3" t="s">
        <v>313</v>
      </c>
      <c r="C145" s="3" t="s">
        <v>304</v>
      </c>
    </row>
    <row r="146" spans="1:3">
      <c r="A146" s="3" t="s">
        <v>478</v>
      </c>
      <c r="B146" s="3" t="s">
        <v>314</v>
      </c>
      <c r="C146" s="3" t="s">
        <v>304</v>
      </c>
    </row>
    <row r="147" spans="1:3">
      <c r="A147" s="3" t="s">
        <v>477</v>
      </c>
      <c r="B147" s="3" t="s">
        <v>311</v>
      </c>
      <c r="C147" s="3" t="s">
        <v>304</v>
      </c>
    </row>
    <row r="148" spans="1:3">
      <c r="A148" s="3" t="s">
        <v>478</v>
      </c>
      <c r="B148" s="3" t="s">
        <v>312</v>
      </c>
      <c r="C148" s="3" t="s">
        <v>304</v>
      </c>
    </row>
    <row r="149" spans="1:3">
      <c r="A149" s="20" t="s">
        <v>543</v>
      </c>
      <c r="B149" s="3" t="s">
        <v>313</v>
      </c>
      <c r="C149" s="3" t="s">
        <v>302</v>
      </c>
    </row>
    <row r="150" spans="1:3">
      <c r="A150" s="20" t="s">
        <v>544</v>
      </c>
      <c r="B150" s="3" t="s">
        <v>314</v>
      </c>
      <c r="C150" s="3" t="s">
        <v>302</v>
      </c>
    </row>
    <row r="151" spans="1:3">
      <c r="A151" s="20" t="s">
        <v>543</v>
      </c>
      <c r="B151" s="3" t="s">
        <v>311</v>
      </c>
      <c r="C151" s="3" t="s">
        <v>302</v>
      </c>
    </row>
    <row r="152" spans="1:3">
      <c r="A152" s="20" t="s">
        <v>544</v>
      </c>
      <c r="B152" s="3" t="s">
        <v>312</v>
      </c>
      <c r="C152" s="3" t="s">
        <v>302</v>
      </c>
    </row>
    <row r="153" spans="1:3">
      <c r="A153" s="3" t="s">
        <v>479</v>
      </c>
      <c r="B153" s="3" t="s">
        <v>313</v>
      </c>
      <c r="C153" s="3" t="s">
        <v>305</v>
      </c>
    </row>
    <row r="154" spans="1:3">
      <c r="A154" s="3" t="s">
        <v>480</v>
      </c>
      <c r="B154" s="3" t="s">
        <v>314</v>
      </c>
      <c r="C154" s="3" t="s">
        <v>305</v>
      </c>
    </row>
    <row r="155" spans="1:3">
      <c r="A155" s="3" t="s">
        <v>479</v>
      </c>
      <c r="B155" s="3" t="s">
        <v>311</v>
      </c>
      <c r="C155" s="3" t="s">
        <v>305</v>
      </c>
    </row>
    <row r="156" spans="1:3">
      <c r="A156" s="3" t="s">
        <v>480</v>
      </c>
      <c r="B156" s="3" t="s">
        <v>312</v>
      </c>
      <c r="C156" s="3" t="s">
        <v>305</v>
      </c>
    </row>
    <row r="157" spans="1:3">
      <c r="A157" s="3" t="s">
        <v>481</v>
      </c>
      <c r="B157" s="3" t="s">
        <v>313</v>
      </c>
      <c r="C157" s="3" t="s">
        <v>308</v>
      </c>
    </row>
    <row r="158" spans="1:3">
      <c r="A158" s="3" t="s">
        <v>482</v>
      </c>
      <c r="B158" s="3" t="s">
        <v>314</v>
      </c>
      <c r="C158" s="3" t="s">
        <v>308</v>
      </c>
    </row>
    <row r="159" spans="1:3">
      <c r="A159" s="3" t="s">
        <v>481</v>
      </c>
      <c r="B159" s="3" t="s">
        <v>311</v>
      </c>
      <c r="C159" s="3" t="s">
        <v>308</v>
      </c>
    </row>
    <row r="160" spans="1:3">
      <c r="A160" s="3" t="s">
        <v>482</v>
      </c>
      <c r="B160" s="3" t="s">
        <v>312</v>
      </c>
      <c r="C160" s="3" t="s">
        <v>308</v>
      </c>
    </row>
    <row r="161" spans="1:3">
      <c r="A161" s="3" t="s">
        <v>483</v>
      </c>
      <c r="B161" s="3" t="s">
        <v>321</v>
      </c>
      <c r="C161" s="3" t="s">
        <v>297</v>
      </c>
    </row>
    <row r="162" spans="1:3">
      <c r="A162" s="3" t="s">
        <v>484</v>
      </c>
      <c r="B162" s="3" t="s">
        <v>318</v>
      </c>
      <c r="C162" s="3" t="s">
        <v>297</v>
      </c>
    </row>
    <row r="163" spans="1:3">
      <c r="A163" s="3" t="s">
        <v>485</v>
      </c>
      <c r="B163" s="3" t="s">
        <v>319</v>
      </c>
      <c r="C163" s="3" t="s">
        <v>297</v>
      </c>
    </row>
    <row r="164" spans="1:3">
      <c r="A164" s="3" t="s">
        <v>486</v>
      </c>
      <c r="B164" s="3" t="s">
        <v>320</v>
      </c>
      <c r="C164" s="3" t="s">
        <v>297</v>
      </c>
    </row>
    <row r="165" spans="1:3">
      <c r="A165" s="20" t="s">
        <v>545</v>
      </c>
      <c r="B165" s="3" t="s">
        <v>321</v>
      </c>
      <c r="C165" s="3" t="s">
        <v>306</v>
      </c>
    </row>
    <row r="166" spans="1:3">
      <c r="A166" s="20" t="s">
        <v>546</v>
      </c>
      <c r="B166" s="3" t="s">
        <v>318</v>
      </c>
      <c r="C166" s="3" t="s">
        <v>306</v>
      </c>
    </row>
    <row r="167" spans="1:3">
      <c r="A167" s="20" t="s">
        <v>545</v>
      </c>
      <c r="B167" s="3" t="s">
        <v>319</v>
      </c>
      <c r="C167" s="3" t="s">
        <v>306</v>
      </c>
    </row>
    <row r="168" spans="1:3">
      <c r="A168" s="20" t="s">
        <v>546</v>
      </c>
      <c r="B168" s="3" t="s">
        <v>320</v>
      </c>
      <c r="C168" s="3" t="s">
        <v>306</v>
      </c>
    </row>
    <row r="169" spans="1:3">
      <c r="A169" s="3" t="s">
        <v>487</v>
      </c>
      <c r="B169" s="3" t="s">
        <v>321</v>
      </c>
      <c r="C169" s="3" t="s">
        <v>303</v>
      </c>
    </row>
    <row r="170" spans="1:3">
      <c r="A170" s="3" t="s">
        <v>488</v>
      </c>
      <c r="B170" s="3" t="s">
        <v>318</v>
      </c>
      <c r="C170" s="3" t="s">
        <v>303</v>
      </c>
    </row>
    <row r="171" spans="1:3">
      <c r="A171" s="3" t="s">
        <v>487</v>
      </c>
      <c r="B171" s="3" t="s">
        <v>319</v>
      </c>
      <c r="C171" s="3" t="s">
        <v>303</v>
      </c>
    </row>
    <row r="172" spans="1:3">
      <c r="A172" s="3" t="s">
        <v>488</v>
      </c>
      <c r="B172" s="3" t="s">
        <v>320</v>
      </c>
      <c r="C172" s="3" t="s">
        <v>303</v>
      </c>
    </row>
    <row r="173" spans="1:3">
      <c r="A173" s="20" t="s">
        <v>547</v>
      </c>
      <c r="B173" s="3" t="s">
        <v>321</v>
      </c>
      <c r="C173" s="3" t="s">
        <v>307</v>
      </c>
    </row>
    <row r="174" spans="1:3">
      <c r="A174" s="20" t="s">
        <v>548</v>
      </c>
      <c r="B174" s="3" t="s">
        <v>318</v>
      </c>
      <c r="C174" s="3" t="s">
        <v>307</v>
      </c>
    </row>
    <row r="175" spans="1:3">
      <c r="A175" s="20" t="s">
        <v>547</v>
      </c>
      <c r="B175" s="3" t="s">
        <v>319</v>
      </c>
      <c r="C175" s="3" t="s">
        <v>307</v>
      </c>
    </row>
    <row r="176" spans="1:3">
      <c r="A176" s="20" t="s">
        <v>548</v>
      </c>
      <c r="B176" s="3" t="s">
        <v>320</v>
      </c>
      <c r="C176" s="3" t="s">
        <v>307</v>
      </c>
    </row>
    <row r="177" spans="1:3">
      <c r="A177" s="3" t="s">
        <v>489</v>
      </c>
      <c r="B177" s="3" t="s">
        <v>321</v>
      </c>
      <c r="C177" s="3" t="s">
        <v>304</v>
      </c>
    </row>
    <row r="178" spans="1:3">
      <c r="A178" s="3" t="s">
        <v>490</v>
      </c>
      <c r="B178" s="3" t="s">
        <v>318</v>
      </c>
      <c r="C178" s="3" t="s">
        <v>304</v>
      </c>
    </row>
    <row r="179" spans="1:3">
      <c r="A179" s="3" t="s">
        <v>489</v>
      </c>
      <c r="B179" s="3" t="s">
        <v>319</v>
      </c>
      <c r="C179" s="3" t="s">
        <v>304</v>
      </c>
    </row>
    <row r="180" spans="1:3">
      <c r="A180" s="3" t="s">
        <v>490</v>
      </c>
      <c r="B180" s="3" t="s">
        <v>320</v>
      </c>
      <c r="C180" s="3" t="s">
        <v>304</v>
      </c>
    </row>
    <row r="181" spans="1:3">
      <c r="A181" s="20" t="s">
        <v>549</v>
      </c>
      <c r="B181" s="3" t="s">
        <v>321</v>
      </c>
      <c r="C181" s="3" t="s">
        <v>302</v>
      </c>
    </row>
    <row r="182" spans="1:3">
      <c r="A182" s="20" t="s">
        <v>550</v>
      </c>
      <c r="B182" s="3" t="s">
        <v>318</v>
      </c>
      <c r="C182" s="3" t="s">
        <v>302</v>
      </c>
    </row>
    <row r="183" spans="1:3">
      <c r="A183" s="20" t="s">
        <v>549</v>
      </c>
      <c r="B183" s="3" t="s">
        <v>319</v>
      </c>
      <c r="C183" s="3" t="s">
        <v>302</v>
      </c>
    </row>
    <row r="184" spans="1:3">
      <c r="A184" s="20" t="s">
        <v>550</v>
      </c>
      <c r="B184" s="3" t="s">
        <v>320</v>
      </c>
      <c r="C184" s="3" t="s">
        <v>302</v>
      </c>
    </row>
    <row r="185" spans="1:3">
      <c r="A185" s="3" t="s">
        <v>491</v>
      </c>
      <c r="B185" s="3" t="s">
        <v>321</v>
      </c>
      <c r="C185" s="3" t="s">
        <v>305</v>
      </c>
    </row>
    <row r="186" spans="1:3">
      <c r="A186" s="3" t="s">
        <v>492</v>
      </c>
      <c r="B186" s="3" t="s">
        <v>318</v>
      </c>
      <c r="C186" s="3" t="s">
        <v>305</v>
      </c>
    </row>
    <row r="187" spans="1:3">
      <c r="A187" s="3" t="s">
        <v>491</v>
      </c>
      <c r="B187" s="3" t="s">
        <v>319</v>
      </c>
      <c r="C187" s="3" t="s">
        <v>305</v>
      </c>
    </row>
    <row r="188" spans="1:3">
      <c r="A188" s="3" t="s">
        <v>492</v>
      </c>
      <c r="B188" s="3" t="s">
        <v>320</v>
      </c>
      <c r="C188" s="3" t="s">
        <v>305</v>
      </c>
    </row>
    <row r="189" spans="1:3">
      <c r="A189" s="3" t="s">
        <v>493</v>
      </c>
      <c r="B189" s="3" t="s">
        <v>321</v>
      </c>
      <c r="C189" s="3" t="s">
        <v>308</v>
      </c>
    </row>
    <row r="190" spans="1:3">
      <c r="A190" s="3" t="s">
        <v>494</v>
      </c>
      <c r="B190" s="3" t="s">
        <v>318</v>
      </c>
      <c r="C190" s="3" t="s">
        <v>308</v>
      </c>
    </row>
    <row r="191" spans="1:3">
      <c r="A191" s="3" t="s">
        <v>493</v>
      </c>
      <c r="B191" s="3" t="s">
        <v>319</v>
      </c>
      <c r="C191" s="3" t="s">
        <v>308</v>
      </c>
    </row>
    <row r="192" spans="1:3">
      <c r="A192" s="3" t="s">
        <v>494</v>
      </c>
      <c r="B192" s="3" t="s">
        <v>320</v>
      </c>
      <c r="C192" s="3" t="s">
        <v>308</v>
      </c>
    </row>
    <row r="193" spans="1:3">
      <c r="A193" s="3" t="s">
        <v>495</v>
      </c>
      <c r="B193" s="3" t="s">
        <v>316</v>
      </c>
      <c r="C193" s="3" t="s">
        <v>324</v>
      </c>
    </row>
    <row r="194" spans="1:3">
      <c r="A194" s="3" t="s">
        <v>496</v>
      </c>
      <c r="B194" s="3" t="s">
        <v>322</v>
      </c>
      <c r="C194" s="3" t="s">
        <v>324</v>
      </c>
    </row>
    <row r="195" spans="1:3">
      <c r="A195" s="3" t="s">
        <v>497</v>
      </c>
      <c r="B195" s="3" t="s">
        <v>316</v>
      </c>
      <c r="C195" s="3" t="s">
        <v>301</v>
      </c>
    </row>
    <row r="196" spans="1:3">
      <c r="A196" s="3" t="s">
        <v>498</v>
      </c>
      <c r="B196" s="3" t="s">
        <v>322</v>
      </c>
      <c r="C196" s="3" t="s">
        <v>301</v>
      </c>
    </row>
    <row r="197" spans="1:3">
      <c r="A197" s="3" t="s">
        <v>499</v>
      </c>
      <c r="B197" s="3" t="s">
        <v>316</v>
      </c>
      <c r="C197" s="3" t="s">
        <v>300</v>
      </c>
    </row>
    <row r="198" spans="1:3">
      <c r="A198" s="3" t="s">
        <v>500</v>
      </c>
      <c r="B198" s="3" t="s">
        <v>322</v>
      </c>
      <c r="C198" s="3" t="s">
        <v>300</v>
      </c>
    </row>
    <row r="199" spans="1:3">
      <c r="A199" s="3" t="s">
        <v>501</v>
      </c>
      <c r="B199" s="3" t="s">
        <v>318</v>
      </c>
      <c r="C199" s="3" t="s">
        <v>324</v>
      </c>
    </row>
    <row r="200" spans="1:3">
      <c r="A200" s="3" t="s">
        <v>502</v>
      </c>
      <c r="B200" s="3" t="s">
        <v>321</v>
      </c>
      <c r="C200" s="3" t="s">
        <v>324</v>
      </c>
    </row>
    <row r="201" spans="1:3">
      <c r="A201" s="3" t="s">
        <v>501</v>
      </c>
      <c r="B201" s="3" t="s">
        <v>320</v>
      </c>
      <c r="C201" s="3" t="s">
        <v>324</v>
      </c>
    </row>
    <row r="202" spans="1:3">
      <c r="A202" s="3" t="s">
        <v>502</v>
      </c>
      <c r="B202" s="3" t="s">
        <v>319</v>
      </c>
      <c r="C202" s="3" t="s">
        <v>324</v>
      </c>
    </row>
    <row r="203" spans="1:3">
      <c r="A203" s="3" t="s">
        <v>503</v>
      </c>
      <c r="B203" s="3" t="s">
        <v>318</v>
      </c>
      <c r="C203" s="3" t="s">
        <v>301</v>
      </c>
    </row>
    <row r="204" spans="1:3">
      <c r="A204" s="3" t="s">
        <v>504</v>
      </c>
      <c r="B204" s="3" t="s">
        <v>321</v>
      </c>
      <c r="C204" s="3" t="s">
        <v>301</v>
      </c>
    </row>
    <row r="205" spans="1:3">
      <c r="A205" s="3" t="s">
        <v>503</v>
      </c>
      <c r="B205" s="3" t="s">
        <v>320</v>
      </c>
      <c r="C205" s="3" t="s">
        <v>301</v>
      </c>
    </row>
    <row r="206" spans="1:3">
      <c r="A206" s="3" t="s">
        <v>504</v>
      </c>
      <c r="B206" s="3" t="s">
        <v>319</v>
      </c>
      <c r="C206" s="3" t="s">
        <v>301</v>
      </c>
    </row>
    <row r="207" spans="1:3">
      <c r="A207" s="3" t="s">
        <v>505</v>
      </c>
      <c r="B207" s="3" t="s">
        <v>318</v>
      </c>
      <c r="C207" s="3" t="s">
        <v>300</v>
      </c>
    </row>
    <row r="208" spans="1:3">
      <c r="A208" s="3" t="s">
        <v>506</v>
      </c>
      <c r="B208" s="3" t="s">
        <v>321</v>
      </c>
      <c r="C208" s="3" t="s">
        <v>300</v>
      </c>
    </row>
    <row r="209" spans="1:3">
      <c r="A209" s="3" t="s">
        <v>505</v>
      </c>
      <c r="B209" s="3" t="s">
        <v>320</v>
      </c>
      <c r="C209" s="3" t="s">
        <v>300</v>
      </c>
    </row>
    <row r="210" spans="1:3">
      <c r="A210" s="3" t="s">
        <v>506</v>
      </c>
      <c r="B210" s="3" t="s">
        <v>319</v>
      </c>
      <c r="C210" s="3" t="s">
        <v>300</v>
      </c>
    </row>
    <row r="211" spans="1:3">
      <c r="A211" s="3" t="s">
        <v>507</v>
      </c>
      <c r="B211" s="3" t="s">
        <v>314</v>
      </c>
      <c r="C211" s="3" t="s">
        <v>324</v>
      </c>
    </row>
    <row r="212" spans="1:3">
      <c r="A212" s="3" t="s">
        <v>508</v>
      </c>
      <c r="B212" s="3" t="s">
        <v>313</v>
      </c>
      <c r="C212" s="3" t="s">
        <v>324</v>
      </c>
    </row>
    <row r="213" spans="1:3">
      <c r="A213" s="3" t="s">
        <v>507</v>
      </c>
      <c r="B213" s="3" t="s">
        <v>312</v>
      </c>
      <c r="C213" s="3" t="s">
        <v>324</v>
      </c>
    </row>
    <row r="214" spans="1:3">
      <c r="A214" s="3" t="s">
        <v>508</v>
      </c>
      <c r="B214" s="3" t="s">
        <v>311</v>
      </c>
      <c r="C214" s="3" t="s">
        <v>324</v>
      </c>
    </row>
    <row r="215" spans="1:3">
      <c r="A215" s="3" t="s">
        <v>509</v>
      </c>
      <c r="B215" s="3" t="s">
        <v>314</v>
      </c>
      <c r="C215" s="3" t="s">
        <v>301</v>
      </c>
    </row>
    <row r="216" spans="1:3">
      <c r="A216" s="3" t="s">
        <v>510</v>
      </c>
      <c r="B216" s="3" t="s">
        <v>313</v>
      </c>
      <c r="C216" s="3" t="s">
        <v>301</v>
      </c>
    </row>
    <row r="217" spans="1:3">
      <c r="A217" s="3" t="s">
        <v>509</v>
      </c>
      <c r="B217" s="3" t="s">
        <v>312</v>
      </c>
      <c r="C217" s="3" t="s">
        <v>301</v>
      </c>
    </row>
    <row r="218" spans="1:3">
      <c r="A218" s="3" t="s">
        <v>510</v>
      </c>
      <c r="B218" s="3" t="s">
        <v>311</v>
      </c>
      <c r="C218" s="3" t="s">
        <v>301</v>
      </c>
    </row>
    <row r="219" spans="1:3">
      <c r="A219" s="3" t="s">
        <v>511</v>
      </c>
      <c r="B219" s="3" t="s">
        <v>314</v>
      </c>
      <c r="C219" s="3" t="s">
        <v>300</v>
      </c>
    </row>
    <row r="220" spans="1:3">
      <c r="A220" s="3" t="s">
        <v>512</v>
      </c>
      <c r="B220" s="3" t="s">
        <v>313</v>
      </c>
      <c r="C220" s="3" t="s">
        <v>300</v>
      </c>
    </row>
    <row r="221" spans="1:3">
      <c r="A221" s="3" t="s">
        <v>511</v>
      </c>
      <c r="B221" s="3" t="s">
        <v>312</v>
      </c>
      <c r="C221" s="3" t="s">
        <v>300</v>
      </c>
    </row>
    <row r="222" spans="1:3">
      <c r="A222" s="3" t="s">
        <v>512</v>
      </c>
      <c r="B222" s="3" t="s">
        <v>311</v>
      </c>
      <c r="C222" s="3" t="s">
        <v>300</v>
      </c>
    </row>
    <row r="223" spans="1:3">
      <c r="A223" s="3" t="s">
        <v>513</v>
      </c>
      <c r="B223" s="3" t="s">
        <v>40</v>
      </c>
      <c r="C223" s="3" t="s">
        <v>324</v>
      </c>
    </row>
    <row r="224" spans="1:3">
      <c r="A224" s="3" t="s">
        <v>514</v>
      </c>
      <c r="B224" s="3" t="s">
        <v>79</v>
      </c>
      <c r="C224" s="3" t="s">
        <v>324</v>
      </c>
    </row>
    <row r="225" spans="1:3">
      <c r="A225" s="3" t="s">
        <v>515</v>
      </c>
      <c r="B225" s="3" t="s">
        <v>32</v>
      </c>
      <c r="C225" s="3" t="s">
        <v>324</v>
      </c>
    </row>
    <row r="226" spans="1:3">
      <c r="A226" s="3" t="s">
        <v>516</v>
      </c>
      <c r="B226" s="3" t="s">
        <v>90</v>
      </c>
      <c r="C226" s="3" t="s">
        <v>324</v>
      </c>
    </row>
    <row r="227" spans="1:3">
      <c r="A227" s="3" t="s">
        <v>517</v>
      </c>
      <c r="B227" s="3" t="s">
        <v>314</v>
      </c>
      <c r="C227" s="3" t="s">
        <v>325</v>
      </c>
    </row>
    <row r="228" spans="1:3">
      <c r="A228" s="3" t="s">
        <v>517</v>
      </c>
      <c r="B228" s="3" t="s">
        <v>313</v>
      </c>
      <c r="C228" s="3" t="s">
        <v>325</v>
      </c>
    </row>
    <row r="229" spans="1:3">
      <c r="A229" s="3" t="s">
        <v>517</v>
      </c>
      <c r="B229" s="3" t="s">
        <v>312</v>
      </c>
      <c r="C229" s="3" t="s">
        <v>325</v>
      </c>
    </row>
    <row r="230" spans="1:3">
      <c r="A230" s="3" t="s">
        <v>517</v>
      </c>
      <c r="B230" s="3" t="s">
        <v>311</v>
      </c>
      <c r="C230" s="3" t="s">
        <v>325</v>
      </c>
    </row>
    <row r="231" spans="1:3">
      <c r="A231" s="3" t="s">
        <v>517</v>
      </c>
      <c r="B231" s="3" t="s">
        <v>309</v>
      </c>
      <c r="C231" s="3" t="s">
        <v>325</v>
      </c>
    </row>
    <row r="232" spans="1:3">
      <c r="A232" s="3" t="s">
        <v>518</v>
      </c>
      <c r="B232" s="3" t="s">
        <v>318</v>
      </c>
      <c r="C232" s="3" t="s">
        <v>325</v>
      </c>
    </row>
    <row r="233" spans="1:3">
      <c r="A233" s="3" t="s">
        <v>518</v>
      </c>
      <c r="B233" s="3" t="s">
        <v>321</v>
      </c>
      <c r="C233" s="3" t="s">
        <v>325</v>
      </c>
    </row>
    <row r="234" spans="1:3">
      <c r="A234" s="3" t="s">
        <v>518</v>
      </c>
      <c r="B234" s="3" t="s">
        <v>320</v>
      </c>
      <c r="C234" s="3" t="s">
        <v>325</v>
      </c>
    </row>
    <row r="235" spans="1:3">
      <c r="A235" s="3" t="s">
        <v>518</v>
      </c>
      <c r="B235" s="3" t="s">
        <v>319</v>
      </c>
      <c r="C235" s="3" t="s">
        <v>325</v>
      </c>
    </row>
    <row r="236" spans="1:3">
      <c r="A236" s="3" t="s">
        <v>518</v>
      </c>
      <c r="B236" s="3" t="s">
        <v>317</v>
      </c>
      <c r="C236" s="3" t="s">
        <v>325</v>
      </c>
    </row>
    <row r="237" spans="1:3">
      <c r="A237" s="3" t="s">
        <v>519</v>
      </c>
      <c r="B237" s="3" t="s">
        <v>314</v>
      </c>
      <c r="C237" s="3" t="s">
        <v>326</v>
      </c>
    </row>
    <row r="238" spans="1:3">
      <c r="A238" s="3" t="s">
        <v>519</v>
      </c>
      <c r="B238" s="3" t="s">
        <v>313</v>
      </c>
      <c r="C238" s="3" t="s">
        <v>326</v>
      </c>
    </row>
    <row r="239" spans="1:3">
      <c r="A239" s="3" t="s">
        <v>519</v>
      </c>
      <c r="B239" s="3" t="s">
        <v>312</v>
      </c>
      <c r="C239" s="3" t="s">
        <v>326</v>
      </c>
    </row>
    <row r="240" spans="1:3">
      <c r="A240" s="3" t="s">
        <v>519</v>
      </c>
      <c r="B240" s="3" t="s">
        <v>311</v>
      </c>
      <c r="C240" s="3" t="s">
        <v>326</v>
      </c>
    </row>
    <row r="241" spans="1:3">
      <c r="A241" s="3" t="s">
        <v>519</v>
      </c>
      <c r="B241" s="3" t="s">
        <v>309</v>
      </c>
      <c r="C241" s="3" t="s">
        <v>326</v>
      </c>
    </row>
    <row r="242" spans="1:3">
      <c r="A242" s="3" t="s">
        <v>520</v>
      </c>
      <c r="B242" s="3" t="s">
        <v>318</v>
      </c>
      <c r="C242" s="3" t="s">
        <v>326</v>
      </c>
    </row>
    <row r="243" spans="1:3">
      <c r="A243" s="3" t="s">
        <v>520</v>
      </c>
      <c r="B243" s="3" t="s">
        <v>321</v>
      </c>
      <c r="C243" s="3" t="s">
        <v>326</v>
      </c>
    </row>
    <row r="244" spans="1:3">
      <c r="A244" s="3" t="s">
        <v>520</v>
      </c>
      <c r="B244" s="3" t="s">
        <v>320</v>
      </c>
      <c r="C244" s="3" t="s">
        <v>326</v>
      </c>
    </row>
    <row r="245" spans="1:3">
      <c r="A245" s="3" t="s">
        <v>520</v>
      </c>
      <c r="B245" s="3" t="s">
        <v>319</v>
      </c>
      <c r="C245" s="3" t="s">
        <v>326</v>
      </c>
    </row>
    <row r="246" spans="1:3">
      <c r="A246" s="3" t="s">
        <v>520</v>
      </c>
      <c r="B246" s="3" t="s">
        <v>317</v>
      </c>
      <c r="C246" s="3" t="s">
        <v>326</v>
      </c>
    </row>
    <row r="247" spans="1:3">
      <c r="A247" s="3" t="s">
        <v>521</v>
      </c>
      <c r="B247" s="3" t="s">
        <v>309</v>
      </c>
      <c r="C247" s="3" t="s">
        <v>298</v>
      </c>
    </row>
    <row r="248" spans="1:3">
      <c r="A248" s="3" t="s">
        <v>522</v>
      </c>
      <c r="B248" s="3" t="s">
        <v>317</v>
      </c>
      <c r="C248" s="3" t="s">
        <v>298</v>
      </c>
    </row>
    <row r="249" spans="1:3">
      <c r="A249" s="3" t="s">
        <v>523</v>
      </c>
      <c r="B249" s="3" t="s">
        <v>323</v>
      </c>
      <c r="C249" s="3" t="s">
        <v>303</v>
      </c>
    </row>
    <row r="250" spans="1:3">
      <c r="A250" s="20" t="s">
        <v>552</v>
      </c>
      <c r="B250" s="3" t="s">
        <v>323</v>
      </c>
      <c r="C250" s="3" t="s">
        <v>302</v>
      </c>
    </row>
    <row r="251" spans="1:3">
      <c r="A251" s="3" t="s">
        <v>524</v>
      </c>
      <c r="B251" s="3" t="s">
        <v>323</v>
      </c>
      <c r="C251" s="3" t="s">
        <v>305</v>
      </c>
    </row>
    <row r="252" spans="1:3">
      <c r="A252" s="20" t="s">
        <v>551</v>
      </c>
      <c r="B252" s="3" t="s">
        <v>323</v>
      </c>
      <c r="C252" s="3" t="s">
        <v>307</v>
      </c>
    </row>
    <row r="253" spans="1:3">
      <c r="A253" s="3" t="s">
        <v>525</v>
      </c>
      <c r="B253" s="3" t="s">
        <v>323</v>
      </c>
      <c r="C253" s="3" t="s">
        <v>297</v>
      </c>
    </row>
    <row r="254" spans="1:3">
      <c r="A254" s="3" t="s">
        <v>526</v>
      </c>
      <c r="B254" s="3" t="s">
        <v>323</v>
      </c>
      <c r="C254" s="3" t="s">
        <v>308</v>
      </c>
    </row>
    <row r="255" spans="1:3">
      <c r="A255" s="3" t="s">
        <v>527</v>
      </c>
      <c r="B255" s="3" t="s">
        <v>323</v>
      </c>
      <c r="C255" s="3" t="s">
        <v>300</v>
      </c>
    </row>
    <row r="256" spans="1:3">
      <c r="A256" s="3" t="s">
        <v>528</v>
      </c>
      <c r="B256" s="3" t="s">
        <v>323</v>
      </c>
      <c r="C256" s="3" t="s">
        <v>301</v>
      </c>
    </row>
    <row r="257" spans="1:3">
      <c r="A257" s="3" t="s">
        <v>529</v>
      </c>
      <c r="B257" s="3" t="s">
        <v>323</v>
      </c>
      <c r="C257" s="3" t="s">
        <v>304</v>
      </c>
    </row>
    <row r="258" spans="1:3">
      <c r="A258" s="3" t="s">
        <v>530</v>
      </c>
      <c r="B258" s="3" t="s">
        <v>314</v>
      </c>
      <c r="C258" s="3" t="s">
        <v>298</v>
      </c>
    </row>
    <row r="259" spans="1:3">
      <c r="A259" s="3" t="s">
        <v>531</v>
      </c>
      <c r="B259" s="3" t="s">
        <v>313</v>
      </c>
      <c r="C259" s="3" t="s">
        <v>298</v>
      </c>
    </row>
    <row r="260" spans="1:3">
      <c r="A260" s="3" t="s">
        <v>532</v>
      </c>
      <c r="B260" s="3" t="s">
        <v>318</v>
      </c>
      <c r="C260" s="3" t="s">
        <v>298</v>
      </c>
    </row>
    <row r="261" spans="1:3">
      <c r="A261" s="3" t="s">
        <v>533</v>
      </c>
      <c r="B261" s="3" t="s">
        <v>321</v>
      </c>
      <c r="C261" s="3" t="s">
        <v>298</v>
      </c>
    </row>
    <row r="262" spans="1:3">
      <c r="A262" s="3" t="s">
        <v>534</v>
      </c>
      <c r="B262" s="3" t="s">
        <v>312</v>
      </c>
      <c r="C262" s="3" t="s">
        <v>298</v>
      </c>
    </row>
    <row r="263" spans="1:3">
      <c r="A263" s="3" t="s">
        <v>535</v>
      </c>
      <c r="B263" s="3" t="s">
        <v>311</v>
      </c>
      <c r="C263" s="3" t="s">
        <v>298</v>
      </c>
    </row>
    <row r="264" spans="1:3">
      <c r="A264" s="3" t="s">
        <v>536</v>
      </c>
      <c r="B264" s="3" t="s">
        <v>320</v>
      </c>
      <c r="C264" s="3" t="s">
        <v>298</v>
      </c>
    </row>
    <row r="265" spans="1:3">
      <c r="A265" s="3" t="s">
        <v>537</v>
      </c>
      <c r="B265" s="3" t="s">
        <v>319</v>
      </c>
      <c r="C265" s="3" t="s">
        <v>298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037FE8-50BE-4578-92B1-D1117C95118B}">
  <dimension ref="A1:C76"/>
  <sheetViews>
    <sheetView workbookViewId="0">
      <selection activeCell="A26" sqref="A26"/>
    </sheetView>
  </sheetViews>
  <sheetFormatPr defaultColWidth="9.1796875" defaultRowHeight="13"/>
  <cols>
    <col min="1" max="1" width="51" style="3" bestFit="1" customWidth="1"/>
    <col min="2" max="2" width="39.7265625" style="3" bestFit="1" customWidth="1"/>
    <col min="3" max="3" width="62.1796875" style="3" bestFit="1" customWidth="1"/>
    <col min="4" max="16384" width="9.1796875" style="3"/>
  </cols>
  <sheetData>
    <row r="1" spans="1:3">
      <c r="A1" s="1" t="s">
        <v>327</v>
      </c>
      <c r="B1" s="1" t="s">
        <v>328</v>
      </c>
      <c r="C1" s="1" t="s">
        <v>329</v>
      </c>
    </row>
    <row r="2" spans="1:3">
      <c r="A2" s="3" t="s">
        <v>330</v>
      </c>
      <c r="B2" s="3" t="s">
        <v>331</v>
      </c>
      <c r="C2" s="3" t="s">
        <v>332</v>
      </c>
    </row>
    <row r="3" spans="1:3">
      <c r="A3" s="3" t="s">
        <v>163</v>
      </c>
      <c r="B3" s="3" t="s">
        <v>333</v>
      </c>
      <c r="C3" s="3" t="s">
        <v>334</v>
      </c>
    </row>
    <row r="4" spans="1:3">
      <c r="A4" s="3" t="s">
        <v>335</v>
      </c>
      <c r="B4" s="3" t="s">
        <v>336</v>
      </c>
      <c r="C4" s="3" t="s">
        <v>337</v>
      </c>
    </row>
    <row r="5" spans="1:3">
      <c r="A5" s="3" t="s">
        <v>338</v>
      </c>
      <c r="B5" s="3" t="s">
        <v>339</v>
      </c>
      <c r="C5" s="3" t="s">
        <v>340</v>
      </c>
    </row>
    <row r="6" spans="1:3">
      <c r="A6" s="3" t="s">
        <v>165</v>
      </c>
      <c r="B6" s="3" t="s">
        <v>341</v>
      </c>
      <c r="C6" s="3" t="s">
        <v>342</v>
      </c>
    </row>
    <row r="7" spans="1:3">
      <c r="A7" s="3" t="s">
        <v>343</v>
      </c>
      <c r="B7" s="3" t="s">
        <v>344</v>
      </c>
      <c r="C7" s="3" t="s">
        <v>345</v>
      </c>
    </row>
    <row r="8" spans="1:3">
      <c r="A8" s="3" t="s">
        <v>160</v>
      </c>
      <c r="B8" s="3" t="s">
        <v>346</v>
      </c>
      <c r="C8" s="3" t="s">
        <v>347</v>
      </c>
    </row>
    <row r="9" spans="1:3">
      <c r="A9" s="3" t="s">
        <v>348</v>
      </c>
      <c r="B9" s="3" t="s">
        <v>349</v>
      </c>
      <c r="C9" s="3" t="s">
        <v>350</v>
      </c>
    </row>
    <row r="10" spans="1:3">
      <c r="A10" s="3" t="s">
        <v>167</v>
      </c>
      <c r="B10" s="3" t="s">
        <v>161</v>
      </c>
      <c r="C10" s="3" t="s">
        <v>351</v>
      </c>
    </row>
    <row r="11" spans="1:3">
      <c r="A11" s="3" t="s">
        <v>352</v>
      </c>
      <c r="B11" s="3" t="s">
        <v>353</v>
      </c>
      <c r="C11" s="3" t="s">
        <v>354</v>
      </c>
    </row>
    <row r="12" spans="1:3">
      <c r="A12" s="3" t="s">
        <v>169</v>
      </c>
      <c r="B12" s="3" t="s">
        <v>355</v>
      </c>
      <c r="C12" s="3" t="s">
        <v>356</v>
      </c>
    </row>
    <row r="13" spans="1:3">
      <c r="A13" s="3" t="s">
        <v>357</v>
      </c>
      <c r="B13" s="3" t="s">
        <v>358</v>
      </c>
      <c r="C13" s="3" t="s">
        <v>359</v>
      </c>
    </row>
    <row r="14" spans="1:3">
      <c r="A14" s="3" t="s">
        <v>360</v>
      </c>
      <c r="B14" s="3" t="s">
        <v>361</v>
      </c>
      <c r="C14" s="3" t="s">
        <v>362</v>
      </c>
    </row>
    <row r="15" spans="1:3">
      <c r="A15" s="3" t="s">
        <v>214</v>
      </c>
      <c r="B15" s="3" t="s">
        <v>363</v>
      </c>
      <c r="C15" s="3" t="s">
        <v>364</v>
      </c>
    </row>
    <row r="16" spans="1:3">
      <c r="A16" s="3" t="s">
        <v>176</v>
      </c>
      <c r="B16" s="3" t="s">
        <v>365</v>
      </c>
      <c r="C16" s="3" t="s">
        <v>366</v>
      </c>
    </row>
    <row r="17" spans="1:3">
      <c r="A17" s="3" t="s">
        <v>367</v>
      </c>
      <c r="B17" s="3" t="s">
        <v>368</v>
      </c>
      <c r="C17" s="3" t="s">
        <v>369</v>
      </c>
    </row>
    <row r="18" spans="1:3">
      <c r="A18" s="3" t="s">
        <v>209</v>
      </c>
      <c r="B18" s="3" t="s">
        <v>370</v>
      </c>
      <c r="C18" s="3" t="s">
        <v>371</v>
      </c>
    </row>
    <row r="19" spans="1:3">
      <c r="A19" s="3" t="s">
        <v>171</v>
      </c>
      <c r="B19" s="3" t="s">
        <v>372</v>
      </c>
      <c r="C19" s="3" t="s">
        <v>373</v>
      </c>
    </row>
    <row r="20" spans="1:3">
      <c r="A20" s="3" t="s">
        <v>374</v>
      </c>
      <c r="B20" s="3" t="s">
        <v>375</v>
      </c>
      <c r="C20" s="3" t="s">
        <v>376</v>
      </c>
    </row>
    <row r="21" spans="1:3">
      <c r="A21" s="3" t="s">
        <v>377</v>
      </c>
      <c r="B21" s="3" t="s">
        <v>378</v>
      </c>
      <c r="C21" s="3" t="s">
        <v>379</v>
      </c>
    </row>
    <row r="22" spans="1:3">
      <c r="A22" s="3" t="s">
        <v>182</v>
      </c>
      <c r="C22" s="3" t="s">
        <v>380</v>
      </c>
    </row>
    <row r="23" spans="1:3">
      <c r="A23" s="3" t="s">
        <v>381</v>
      </c>
      <c r="C23" s="3" t="s">
        <v>382</v>
      </c>
    </row>
    <row r="24" spans="1:3">
      <c r="A24" s="3" t="s">
        <v>383</v>
      </c>
      <c r="C24" s="3" t="s">
        <v>384</v>
      </c>
    </row>
    <row r="25" spans="1:3">
      <c r="A25" s="3" t="s">
        <v>179</v>
      </c>
      <c r="C25" s="3" t="s">
        <v>385</v>
      </c>
    </row>
    <row r="26" spans="1:3">
      <c r="A26" s="3" t="s">
        <v>386</v>
      </c>
      <c r="C26" s="3" t="s">
        <v>387</v>
      </c>
    </row>
    <row r="27" spans="1:3">
      <c r="A27" s="3" t="s">
        <v>388</v>
      </c>
      <c r="C27" s="3" t="s">
        <v>389</v>
      </c>
    </row>
    <row r="28" spans="1:3">
      <c r="A28" s="3" t="s">
        <v>197</v>
      </c>
      <c r="C28" s="3" t="s">
        <v>390</v>
      </c>
    </row>
    <row r="29" spans="1:3">
      <c r="A29" s="3" t="s">
        <v>391</v>
      </c>
      <c r="C29" s="3" t="s">
        <v>392</v>
      </c>
    </row>
    <row r="30" spans="1:3">
      <c r="A30" s="3" t="s">
        <v>393</v>
      </c>
      <c r="C30" s="3" t="s">
        <v>394</v>
      </c>
    </row>
    <row r="31" spans="1:3">
      <c r="A31" s="3" t="s">
        <v>233</v>
      </c>
      <c r="C31" s="3" t="s">
        <v>395</v>
      </c>
    </row>
    <row r="32" spans="1:3">
      <c r="A32" s="3" t="s">
        <v>396</v>
      </c>
      <c r="C32" s="3" t="s">
        <v>397</v>
      </c>
    </row>
    <row r="33" spans="1:3">
      <c r="A33" s="3" t="s">
        <v>398</v>
      </c>
      <c r="C33" s="3" t="s">
        <v>399</v>
      </c>
    </row>
    <row r="34" spans="1:3">
      <c r="A34" s="3" t="s">
        <v>553</v>
      </c>
      <c r="C34" s="3" t="s">
        <v>400</v>
      </c>
    </row>
    <row r="35" spans="1:3">
      <c r="A35" s="3" t="s">
        <v>401</v>
      </c>
      <c r="C35" s="3" t="s">
        <v>168</v>
      </c>
    </row>
    <row r="36" spans="1:3">
      <c r="A36" s="3" t="s">
        <v>402</v>
      </c>
      <c r="C36" s="3" t="s">
        <v>403</v>
      </c>
    </row>
    <row r="37" spans="1:3">
      <c r="A37" s="3" t="s">
        <v>404</v>
      </c>
      <c r="C37" s="3" t="s">
        <v>405</v>
      </c>
    </row>
    <row r="38" spans="1:3">
      <c r="A38" s="3" t="s">
        <v>406</v>
      </c>
      <c r="C38" s="3" t="s">
        <v>407</v>
      </c>
    </row>
    <row r="39" spans="1:3">
      <c r="A39" s="3" t="s">
        <v>408</v>
      </c>
      <c r="C39" s="3" t="s">
        <v>409</v>
      </c>
    </row>
    <row r="40" spans="1:3">
      <c r="A40" s="3" t="s">
        <v>410</v>
      </c>
      <c r="C40" s="3" t="s">
        <v>411</v>
      </c>
    </row>
    <row r="41" spans="1:3">
      <c r="A41" s="3" t="s">
        <v>412</v>
      </c>
      <c r="C41" s="3" t="s">
        <v>413</v>
      </c>
    </row>
    <row r="42" spans="1:3">
      <c r="A42" s="3" t="s">
        <v>414</v>
      </c>
      <c r="C42" s="3" t="s">
        <v>415</v>
      </c>
    </row>
    <row r="43" spans="1:3">
      <c r="A43" s="3" t="s">
        <v>416</v>
      </c>
      <c r="C43" s="3" t="s">
        <v>417</v>
      </c>
    </row>
    <row r="44" spans="1:3">
      <c r="A44" s="3" t="s">
        <v>418</v>
      </c>
      <c r="C44" s="3" t="s">
        <v>419</v>
      </c>
    </row>
    <row r="45" spans="1:3">
      <c r="A45" s="3" t="s">
        <v>420</v>
      </c>
      <c r="C45" s="3" t="s">
        <v>421</v>
      </c>
    </row>
    <row r="46" spans="1:3">
      <c r="A46" s="3" t="s">
        <v>422</v>
      </c>
      <c r="C46" s="3" t="s">
        <v>423</v>
      </c>
    </row>
    <row r="47" spans="1:3">
      <c r="A47" s="3" t="s">
        <v>424</v>
      </c>
      <c r="C47" s="3" t="s">
        <v>425</v>
      </c>
    </row>
    <row r="48" spans="1:3">
      <c r="A48" s="3" t="s">
        <v>426</v>
      </c>
      <c r="C48" s="3" t="s">
        <v>427</v>
      </c>
    </row>
    <row r="49" spans="1:3">
      <c r="A49" s="3" t="s">
        <v>428</v>
      </c>
      <c r="C49" s="3" t="s">
        <v>198</v>
      </c>
    </row>
    <row r="50" spans="1:3">
      <c r="A50" s="3" t="s">
        <v>429</v>
      </c>
      <c r="C50" s="3" t="s">
        <v>430</v>
      </c>
    </row>
    <row r="51" spans="1:3">
      <c r="A51" s="3" t="s">
        <v>431</v>
      </c>
      <c r="C51" s="3" t="s">
        <v>432</v>
      </c>
    </row>
    <row r="52" spans="1:3">
      <c r="A52" s="3" t="s">
        <v>433</v>
      </c>
      <c r="C52" s="3" t="s">
        <v>434</v>
      </c>
    </row>
    <row r="53" spans="1:3">
      <c r="A53" s="3" t="s">
        <v>435</v>
      </c>
      <c r="C53" s="3" t="s">
        <v>436</v>
      </c>
    </row>
    <row r="54" spans="1:3">
      <c r="C54" s="3" t="s">
        <v>437</v>
      </c>
    </row>
    <row r="55" spans="1:3">
      <c r="C55" s="3" t="s">
        <v>438</v>
      </c>
    </row>
    <row r="56" spans="1:3">
      <c r="C56" s="3" t="s">
        <v>439</v>
      </c>
    </row>
    <row r="57" spans="1:3">
      <c r="C57" s="3" t="s">
        <v>440</v>
      </c>
    </row>
    <row r="58" spans="1:3">
      <c r="C58" s="3" t="s">
        <v>162</v>
      </c>
    </row>
    <row r="59" spans="1:3">
      <c r="C59" s="3" t="s">
        <v>164</v>
      </c>
    </row>
    <row r="60" spans="1:3">
      <c r="C60" s="3" t="s">
        <v>441</v>
      </c>
    </row>
    <row r="61" spans="1:3">
      <c r="C61" s="3" t="s">
        <v>442</v>
      </c>
    </row>
    <row r="62" spans="1:3">
      <c r="C62" s="3" t="s">
        <v>443</v>
      </c>
    </row>
    <row r="63" spans="1:3">
      <c r="C63" s="3" t="s">
        <v>444</v>
      </c>
    </row>
    <row r="64" spans="1:3">
      <c r="C64" s="3" t="s">
        <v>445</v>
      </c>
    </row>
    <row r="65" spans="3:3">
      <c r="C65" s="3" t="s">
        <v>446</v>
      </c>
    </row>
    <row r="66" spans="3:3">
      <c r="C66" s="3" t="s">
        <v>447</v>
      </c>
    </row>
    <row r="67" spans="3:3">
      <c r="C67" s="3" t="s">
        <v>448</v>
      </c>
    </row>
    <row r="68" spans="3:3">
      <c r="C68" s="3" t="s">
        <v>449</v>
      </c>
    </row>
    <row r="69" spans="3:3">
      <c r="C69" s="3" t="s">
        <v>450</v>
      </c>
    </row>
    <row r="70" spans="3:3">
      <c r="C70" s="3" t="s">
        <v>451</v>
      </c>
    </row>
    <row r="71" spans="3:3">
      <c r="C71" s="3" t="s">
        <v>452</v>
      </c>
    </row>
    <row r="72" spans="3:3">
      <c r="C72" s="3" t="s">
        <v>453</v>
      </c>
    </row>
    <row r="73" spans="3:3">
      <c r="C73" s="3" t="s">
        <v>454</v>
      </c>
    </row>
    <row r="74" spans="3:3">
      <c r="C74" s="3" t="s">
        <v>455</v>
      </c>
    </row>
    <row r="75" spans="3:3">
      <c r="C75" s="3" t="s">
        <v>166</v>
      </c>
    </row>
    <row r="76" spans="3:3">
      <c r="C76" s="3" t="s">
        <v>456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0CEE719F3B07941B64B1FAFF7EC105C" ma:contentTypeVersion="7" ma:contentTypeDescription="Create a new document." ma:contentTypeScope="" ma:versionID="67eb5bc81fb1a0ad19ceacf35f40f6ae">
  <xsd:schema xmlns:xsd="http://www.w3.org/2001/XMLSchema" xmlns:xs="http://www.w3.org/2001/XMLSchema" xmlns:p="http://schemas.microsoft.com/office/2006/metadata/properties" xmlns:ns2="4aa283b2-9f10-4ad5-8310-d4cf67f74167" targetNamespace="http://schemas.microsoft.com/office/2006/metadata/properties" ma:root="true" ma:fieldsID="a99de8ec3be31be1e9ba030789f98991" ns2:_="">
    <xsd:import namespace="4aa283b2-9f10-4ad5-8310-d4cf67f7416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aa283b2-9f10-4ad5-8310-d4cf67f7416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E478B8D0-77EB-45A2-A2CF-E656BB0B5C54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2.xml><?xml version="1.0" encoding="utf-8"?>
<ds:datastoreItem xmlns:ds="http://schemas.openxmlformats.org/officeDocument/2006/customXml" ds:itemID="{9D8D8946-2D9E-4268-BFD6-A5B12F9DD9E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aa283b2-9f10-4ad5-8310-d4cf67f7416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B4E70AEE-B883-49FE-AFA2-6291C77D13EA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10</vt:i4>
      </vt:variant>
      <vt:variant>
        <vt:lpstr>Named Ranges</vt:lpstr>
      </vt:variant>
      <vt:variant>
        <vt:i4>7</vt:i4>
      </vt:variant>
    </vt:vector>
  </HeadingPairs>
  <TitlesOfParts>
    <vt:vector size="17" baseType="lpstr">
      <vt:lpstr>Metadata</vt:lpstr>
      <vt:lpstr>Validations</vt:lpstr>
      <vt:lpstr>Databases</vt:lpstr>
      <vt:lpstr>Portfolios</vt:lpstr>
      <vt:lpstr>Reinsurance Treaties</vt:lpstr>
      <vt:lpstr>GeoHaz Thresholds</vt:lpstr>
      <vt:lpstr>Analysis Table</vt:lpstr>
      <vt:lpstr>Groupings</vt:lpstr>
      <vt:lpstr>Products and Perils</vt:lpstr>
      <vt:lpstr>Moody's Reference Data</vt:lpstr>
      <vt:lpstr>Analysis</vt:lpstr>
      <vt:lpstr>Database</vt:lpstr>
      <vt:lpstr>EventRates</vt:lpstr>
      <vt:lpstr>ModelProfiles</vt:lpstr>
      <vt:lpstr>OutputProfiles</vt:lpstr>
      <vt:lpstr>Portfolio</vt:lpstr>
      <vt:lpstr>Treaty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Charlene Chia</dc:creator>
  <cp:keywords/>
  <dc:description/>
  <cp:lastModifiedBy>Anil Venugopal</cp:lastModifiedBy>
  <cp:revision/>
  <dcterms:created xsi:type="dcterms:W3CDTF">2025-04-11T16:18:44Z</dcterms:created>
  <dcterms:modified xsi:type="dcterms:W3CDTF">2025-11-04T20:43:06Z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0x01010080CEE719F3B07941B64B1FAFF7EC105C</vt:lpwstr>
  </property>
</Properties>
</file>